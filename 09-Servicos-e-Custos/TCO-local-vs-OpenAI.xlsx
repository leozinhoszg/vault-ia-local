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API_OpenAI" sheetId="2" state="visible" r:id="rId2"/>
    <sheet xmlns:r="http://schemas.openxmlformats.org/officeDocument/2006/relationships" name="Local" sheetId="3" state="visible" r:id="rId3"/>
    <sheet xmlns:r="http://schemas.openxmlformats.org/officeDocument/2006/relationships" name="Break_even" sheetId="4" state="visible" r:id="rId4"/>
    <sheet xmlns:r="http://schemas.openxmlformats.org/officeDocument/2006/relationships" name="Sensibilidade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'Premissas'!$A$1:$D$18</definedName>
    <definedName name="_xlnm._FilterDatabase" localSheetId="1" hidden="1">'API_OpenAI'!$A$1:$F$4</definedName>
    <definedName name="_xlnm._FilterDatabase" localSheetId="2" hidden="1">'Local'!$A$1:$C$9</definedName>
    <definedName name="_xlnm._FilterDatabase" localSheetId="3" hidden="1">'Break_even'!$A$1:$F$4</definedName>
    <definedName name="_xlnm._FilterDatabase" localSheetId="4" hidden="1">'Sensibilidade'!$A$1:$E$6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b val="1"/>
      <color rgb="00FFFFFF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Sensibilidade ao câmbio</a:t>
            </a:r>
          </a:p>
        </rich>
      </tx>
    </title>
    <plotArea>
      <lineChart>
        <grouping val="standard"/>
        <ser>
          <idx val="0"/>
          <order val="0"/>
          <tx>
            <strRef>
              <f>'Sensibilidade'!B1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'Sensibilidade'!$A$2:$A$6</f>
            </numRef>
          </cat>
          <val>
            <numRef>
              <f>'Sensibilidade'!$B$2:$B$6</f>
            </numRef>
          </val>
        </ser>
        <ser>
          <idx val="1"/>
          <order val="1"/>
          <tx>
            <strRef>
              <f>'Sensibilidade'!C1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'Sensibilidade'!$A$2:$A$6</f>
            </numRef>
          </cat>
          <val>
            <numRef>
              <f>'Sensibilidade'!$C$2:$C$6</f>
            </numRef>
          </val>
        </ser>
        <ser>
          <idx val="2"/>
          <order val="2"/>
          <tx>
            <strRef>
              <f>'Sensibilidade'!D1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'Sensibilidade'!$A$2:$A$6</f>
            </numRef>
          </cat>
          <val>
            <numRef>
              <f>'Sensibilidade'!$D$2:$D$6</f>
            </numRef>
          </val>
        </ser>
        <ser>
          <idx val="3"/>
          <order val="3"/>
          <tx>
            <strRef>
              <f>'Sensibilidade'!E1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'Sensibilidade'!$A$2:$A$6</f>
            </numRef>
          </cat>
          <val>
            <numRef>
              <f>'Sensibilidade'!$E$2:$E$6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BRL/USD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BRL/mês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Premissa</t>
        </is>
      </c>
      <c r="B1" s="1" t="inlineStr">
        <is>
          <t>Valor</t>
        </is>
      </c>
      <c r="C1" s="1" t="inlineStr">
        <is>
          <t>Unidade</t>
        </is>
      </c>
      <c r="D1" s="1" t="inlineStr">
        <is>
          <t>Observação</t>
        </is>
      </c>
    </row>
    <row r="2">
      <c r="A2" s="2" t="inlineStr">
        <is>
          <t>Câmbio efetivo</t>
        </is>
      </c>
      <c r="B2" s="3" t="n">
        <v>5.5</v>
      </c>
      <c r="C2" s="2" t="inlineStr">
        <is>
          <t>BRL/USD</t>
        </is>
      </c>
      <c r="D2" s="2" t="inlineStr">
        <is>
          <t>Inclui spread/impostos; substituir pela taxa contratada</t>
        </is>
      </c>
    </row>
    <row r="3">
      <c r="A3" s="2" t="inlineStr">
        <is>
          <t>CAPEX local</t>
        </is>
      </c>
      <c r="B3" s="3" t="n">
        <v>20000</v>
      </c>
      <c r="C3" s="2" t="inlineStr">
        <is>
          <t>BRL</t>
        </is>
      </c>
      <c r="D3" s="2" t="inlineStr">
        <is>
          <t>Hardware, montagem e periféricos</t>
        </is>
      </c>
    </row>
    <row r="4">
      <c r="A4" s="2" t="inlineStr">
        <is>
          <t>Vida útil</t>
        </is>
      </c>
      <c r="B4" s="3" t="n">
        <v>36</v>
      </c>
      <c r="C4" s="2" t="inlineStr">
        <is>
          <t>meses</t>
        </is>
      </c>
      <c r="D4" s="2" t="inlineStr">
        <is>
          <t>Use 24/36/48 para sensibilidade</t>
        </is>
      </c>
    </row>
    <row r="5">
      <c r="A5" s="2" t="inlineStr">
        <is>
          <t>Valor residual</t>
        </is>
      </c>
      <c r="B5" s="3" t="n">
        <v>0</v>
      </c>
      <c r="C5" s="2" t="inlineStr">
        <is>
          <t>BRL</t>
        </is>
      </c>
      <c r="D5" s="2" t="inlineStr">
        <is>
          <t>Estimativa ao final da vida útil</t>
        </is>
      </c>
    </row>
    <row r="6">
      <c r="A6" s="2" t="inlineStr">
        <is>
          <t>Potência média</t>
        </is>
      </c>
      <c r="B6" s="3" t="n">
        <v>0.65</v>
      </c>
      <c r="C6" s="2" t="inlineStr">
        <is>
          <t>kW</t>
        </is>
      </c>
      <c r="D6" s="2" t="inlineStr">
        <is>
          <t>Medida na tomada, não TDP</t>
        </is>
      </c>
    </row>
    <row r="7">
      <c r="A7" s="2" t="inlineStr">
        <is>
          <t>Horas/dia</t>
        </is>
      </c>
      <c r="B7" s="3" t="n">
        <v>12</v>
      </c>
      <c r="C7" s="2" t="inlineStr">
        <is>
          <t>h</t>
        </is>
      </c>
      <c r="D7" s="2" t="inlineStr">
        <is>
          <t>Carga média</t>
        </is>
      </c>
    </row>
    <row r="8">
      <c r="A8" s="2" t="inlineStr">
        <is>
          <t>Dias/mês</t>
        </is>
      </c>
      <c r="B8" s="3" t="n">
        <v>26</v>
      </c>
      <c r="C8" s="2" t="inlineStr">
        <is>
          <t>dias</t>
        </is>
      </c>
      <c r="D8" s="2" t="inlineStr">
        <is>
          <t>Dias efetivos</t>
        </is>
      </c>
    </row>
    <row r="9">
      <c r="A9" s="2" t="inlineStr">
        <is>
          <t>Tarifa efetiva</t>
        </is>
      </c>
      <c r="B9" s="3" t="n">
        <v>1.05</v>
      </c>
      <c r="C9" s="2" t="inlineStr">
        <is>
          <t>BRL/kWh</t>
        </is>
      </c>
      <c r="D9" s="2" t="inlineStr">
        <is>
          <t>Energia + impostos + bandeira</t>
        </is>
      </c>
    </row>
    <row r="10">
      <c r="A10" s="2" t="inlineStr">
        <is>
          <t>Refrigeração mensal</t>
        </is>
      </c>
      <c r="B10" s="3" t="n">
        <v>150</v>
      </c>
      <c r="C10" s="2" t="inlineStr">
        <is>
          <t>BRL</t>
        </is>
      </c>
      <c r="D10" s="2" t="inlineStr">
        <is>
          <t>Parcela atribuída à IA</t>
        </is>
      </c>
    </row>
    <row r="11">
      <c r="A11" s="2" t="inlineStr">
        <is>
          <t>Manutenção/garantia mensal</t>
        </is>
      </c>
      <c r="B11" s="3" t="n">
        <v>250</v>
      </c>
      <c r="C11" s="2" t="inlineStr">
        <is>
          <t>BRL</t>
        </is>
      </c>
      <c r="D11" s="2" t="inlineStr">
        <is>
          <t>Reserva média</t>
        </is>
      </c>
    </row>
    <row r="12">
      <c r="A12" s="2" t="inlineStr">
        <is>
          <t>Operação/espaço mensal</t>
        </is>
      </c>
      <c r="B12" s="3" t="n">
        <v>600</v>
      </c>
      <c r="C12" s="2" t="inlineStr">
        <is>
          <t>BRL</t>
        </is>
      </c>
      <c r="D12" s="2" t="inlineStr">
        <is>
          <t>Equipe, rack, internet, backup</t>
        </is>
      </c>
    </row>
    <row r="13">
      <c r="A13" s="2" t="inlineStr">
        <is>
          <t>Fator utilização</t>
        </is>
      </c>
      <c r="B13" s="3" t="n">
        <v>0.5</v>
      </c>
      <c r="C13" s="2" t="inlineStr">
        <is>
          <t>%</t>
        </is>
      </c>
      <c r="D13" s="2" t="inlineStr">
        <is>
          <t>Tokens efetivos/capacidade teórica</t>
        </is>
      </c>
    </row>
    <row r="14">
      <c r="A14" s="2" t="inlineStr">
        <is>
          <t>Tokens entrada</t>
        </is>
      </c>
      <c r="B14" s="3" t="n">
        <v>100</v>
      </c>
      <c r="C14" s="2" t="inlineStr">
        <is>
          <t>M tokens/mês</t>
        </is>
      </c>
      <c r="D14" s="2" t="inlineStr">
        <is>
          <t>Sem cached input</t>
        </is>
      </c>
    </row>
    <row r="15">
      <c r="A15" s="2" t="inlineStr">
        <is>
          <t>Tokens cached</t>
        </is>
      </c>
      <c r="B15" s="3" t="n">
        <v>20</v>
      </c>
      <c r="C15" s="2" t="inlineStr">
        <is>
          <t>M tokens/mês</t>
        </is>
      </c>
      <c r="D15" s="2" t="inlineStr">
        <is>
          <t>Parte do prompt reutilizada</t>
        </is>
      </c>
    </row>
    <row r="16">
      <c r="A16" s="2" t="inlineStr">
        <is>
          <t>Tokens saída</t>
        </is>
      </c>
      <c r="B16" s="3" t="n">
        <v>25</v>
      </c>
      <c r="C16" s="2" t="inlineStr">
        <is>
          <t>M tokens/mês</t>
        </is>
      </c>
      <c r="D16" s="2" t="inlineStr">
        <is>
          <t>Resposta/agent output</t>
        </is>
      </c>
    </row>
    <row r="17">
      <c r="A17" s="2" t="inlineStr">
        <is>
          <t>Velocidade decode</t>
        </is>
      </c>
      <c r="B17" s="3" t="n">
        <v>35</v>
      </c>
      <c r="C17" s="2" t="inlineStr">
        <is>
          <t>tokens/s</t>
        </is>
      </c>
      <c r="D17" s="2" t="inlineStr">
        <is>
          <t>Medida no modelo e quantização alvo</t>
        </is>
      </c>
    </row>
    <row r="18">
      <c r="A18" s="2" t="n"/>
      <c r="B18" s="3" t="n"/>
      <c r="C18" s="2" t="n"/>
      <c r="D18" s="2" t="n"/>
    </row>
    <row r="19">
      <c r="A19" t="inlineStr">
        <is>
          <t>Data de consulta</t>
        </is>
      </c>
      <c r="B19" t="inlineStr">
        <is>
          <t>2026-09-01</t>
        </is>
      </c>
      <c r="C19" t="inlineStr">
        <is>
          <t>AAAA-MM-DD</t>
        </is>
      </c>
      <c r="D19" t="inlineStr">
        <is>
          <t>Preço oficial consultado em openai.com/api/pricing</t>
        </is>
      </c>
    </row>
    <row r="20">
      <c r="A20" t="inlineStr">
        <is>
          <t>Batch API</t>
        </is>
      </c>
      <c r="B20" t="n">
        <v>0.5</v>
      </c>
      <c r="C20" t="inlineStr">
        <is>
          <t>fator</t>
        </is>
      </c>
      <c r="D20" t="inlineStr">
        <is>
          <t>50% do standard para workloads assíncronos, sujeito às condições oficiais</t>
        </is>
      </c>
    </row>
    <row r="21">
      <c r="A21" t="inlineStr">
        <is>
          <t>Sobretaxa contexto longo — entrada</t>
        </is>
      </c>
      <c r="B21" t="n">
        <v>1</v>
      </c>
      <c r="C21" t="inlineStr">
        <is>
          <t>fator</t>
        </is>
      </c>
      <c r="D21" t="inlineStr">
        <is>
          <t>Fator sobre o preço de input acima do limite de preço-base (1 = sem sobretaxa)</t>
        </is>
      </c>
    </row>
    <row r="22">
      <c r="A22" t="inlineStr">
        <is>
          <t>Cache writes</t>
        </is>
      </c>
      <c r="B22" t="n">
        <v>0</v>
      </c>
      <c r="C22" t="inlineStr">
        <is>
          <t>US$/M</t>
        </is>
      </c>
      <c r="D22" t="inlineStr">
        <is>
          <t>Preencher quando aplicável; não presumir custo zero sem confirmação</t>
        </is>
      </c>
    </row>
    <row r="23">
      <c r="A23" t="inlineStr">
        <is>
          <t>Sobretaxa contexto longo — cached</t>
        </is>
      </c>
      <c r="B23" t="n">
        <v>1</v>
      </c>
      <c r="C23" t="inlineStr">
        <is>
          <t>fator</t>
        </is>
      </c>
      <c r="D23" t="inlineStr">
        <is>
          <t>Fator sobre o preço de cached input (1 = sem sobretaxa)</t>
        </is>
      </c>
    </row>
    <row r="24">
      <c r="A24" t="inlineStr">
        <is>
          <t>Sobretaxa contexto longo — saída</t>
        </is>
      </c>
      <c r="B24" t="n">
        <v>1</v>
      </c>
      <c r="C24" t="inlineStr">
        <is>
          <t>fator</t>
        </is>
      </c>
      <c r="D24" t="inlineStr">
        <is>
          <t>Fator sobre o preço de output (1 = sem sobretaxa)</t>
        </is>
      </c>
    </row>
  </sheetData>
  <autoFilter ref="A1: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Modelo</t>
        </is>
      </c>
      <c r="B1" s="1" t="inlineStr">
        <is>
          <t>Input US$/M</t>
        </is>
      </c>
      <c r="C1" s="1" t="inlineStr">
        <is>
          <t>Cached US$/M</t>
        </is>
      </c>
      <c r="D1" s="1" t="inlineStr">
        <is>
          <t>Output US$/M</t>
        </is>
      </c>
      <c r="E1" s="1" t="inlineStr">
        <is>
          <t>Custo mensal USD</t>
        </is>
      </c>
      <c r="F1" s="1" t="inlineStr">
        <is>
          <t>Custo mensal BRL</t>
        </is>
      </c>
      <c r="G1" s="1" t="inlineStr">
        <is>
          <t>Custo mensal BRL (Batch)</t>
        </is>
      </c>
    </row>
    <row r="2">
      <c r="A2" s="2" t="inlineStr">
        <is>
          <t>GPT-5.6 Sol</t>
        </is>
      </c>
      <c r="B2" s="2" t="n">
        <v>4</v>
      </c>
      <c r="C2" s="2" t="n">
        <v>0.4</v>
      </c>
      <c r="D2" s="2" t="n">
        <v>20</v>
      </c>
      <c r="E2" s="2">
        <f>(Premissas!$B$14*B2*Premissas!$B$21)+(Premissas!$B$15*(C2+Premissas!$B$22)*Premissas!$B$23)+(Premissas!$B$16*D2*Premissas!$B$24)</f>
        <v/>
      </c>
      <c r="F2" s="2">
        <f>E2*Premissas!$B$2</f>
        <v/>
      </c>
      <c r="G2" s="2">
        <f>F2*Premissas!$B$20</f>
        <v/>
      </c>
    </row>
    <row r="3">
      <c r="A3" s="2" t="inlineStr">
        <is>
          <t>GPT-5.6 Terra</t>
        </is>
      </c>
      <c r="B3" s="2" t="n">
        <v>2</v>
      </c>
      <c r="C3" s="2" t="n">
        <v>0.2</v>
      </c>
      <c r="D3" s="2" t="n">
        <v>12</v>
      </c>
      <c r="E3" s="2">
        <f>(Premissas!$B$14*B3*Premissas!$B$21)+(Premissas!$B$15*(C3+Premissas!$B$22)*Premissas!$B$23)+(Premissas!$B$16*D3*Premissas!$B$24)</f>
        <v/>
      </c>
      <c r="F3" s="2">
        <f>E3*Premissas!$B$2</f>
        <v/>
      </c>
      <c r="G3" s="2">
        <f>F3*Premissas!$B$20</f>
        <v/>
      </c>
    </row>
    <row r="4">
      <c r="A4" s="2" t="inlineStr">
        <is>
          <t>GPT-5.6 Luna</t>
        </is>
      </c>
      <c r="B4" s="2" t="n">
        <v>0.2</v>
      </c>
      <c r="C4" s="2" t="n">
        <v>0.02</v>
      </c>
      <c r="D4" s="2" t="n">
        <v>1.2</v>
      </c>
      <c r="E4" s="2">
        <f>(Premissas!$B$14*B4*Premissas!$B$21)+(Premissas!$B$15*(C4+Premissas!$B$22)*Premissas!$B$23)+(Premissas!$B$16*D4*Premissas!$B$24)</f>
        <v/>
      </c>
      <c r="F4" s="2">
        <f>E4*Premissas!$B$2</f>
        <v/>
      </c>
      <c r="G4" s="2">
        <f>F4*Premissas!$B$20</f>
        <v/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Item</t>
        </is>
      </c>
      <c r="B1" s="1" t="inlineStr">
        <is>
          <t>Fórmula</t>
        </is>
      </c>
      <c r="C1" s="1" t="inlineStr">
        <is>
          <t>Custo mensal BRL</t>
        </is>
      </c>
    </row>
    <row r="2">
      <c r="A2" s="2" t="inlineStr">
        <is>
          <t>CAPEX amortizado</t>
        </is>
      </c>
      <c r="B2" s="2" t="inlineStr">
        <is>
          <t>(CAPEX − valor residual) / vida útil</t>
        </is>
      </c>
      <c r="C2" s="2">
        <f>(Premissas!B3-Premissas!B5)/Premissas!B4</f>
        <v/>
      </c>
    </row>
    <row r="3">
      <c r="A3" s="2" t="inlineStr">
        <is>
          <t>Energia</t>
        </is>
      </c>
      <c r="B3" s="2" t="inlineStr">
        <is>
          <t>kW × h/dia × dias × tarifa</t>
        </is>
      </c>
      <c r="C3" s="2">
        <f>Premissas!B6*Premissas!B7*Premissas!B8*Premissas!B9</f>
        <v/>
      </c>
    </row>
    <row r="4">
      <c r="A4" s="2" t="inlineStr">
        <is>
          <t>Refrigeração</t>
        </is>
      </c>
      <c r="B4" s="2" t="inlineStr"/>
      <c r="C4" s="2">
        <f>Premissas!B10</f>
        <v/>
      </c>
    </row>
    <row r="5">
      <c r="A5" s="2" t="inlineStr">
        <is>
          <t>Manutenção/garantia</t>
        </is>
      </c>
      <c r="B5" s="2" t="inlineStr"/>
      <c r="C5" s="2">
        <f>Premissas!B11</f>
        <v/>
      </c>
    </row>
    <row r="6">
      <c r="A6" s="2" t="inlineStr">
        <is>
          <t>Operação/espaço</t>
        </is>
      </c>
      <c r="B6" s="2" t="inlineStr"/>
      <c r="C6" s="2">
        <f>Premissas!B12</f>
        <v/>
      </c>
    </row>
    <row r="7">
      <c r="A7" s="2" t="inlineStr">
        <is>
          <t>TCO local</t>
        </is>
      </c>
      <c r="B7" s="2" t="inlineStr"/>
      <c r="C7" s="2">
        <f>SUM(C2:C6)</f>
        <v/>
      </c>
    </row>
    <row r="8">
      <c r="A8" s="2" t="inlineStr">
        <is>
          <t>Capacidade mensal</t>
        </is>
      </c>
      <c r="B8" s="2" t="inlineStr">
        <is>
          <t>tokens/s × 3600 × h/dia × dias × utilização</t>
        </is>
      </c>
      <c r="C8" s="2">
        <f>Premissas!B17*3600*Premissas!B7*Premissas!B8*Premissas!B13</f>
        <v/>
      </c>
    </row>
    <row r="9">
      <c r="A9" s="2" t="inlineStr">
        <is>
          <t>Custo local por M tokens</t>
        </is>
      </c>
      <c r="B9" s="2" t="inlineStr">
        <is>
          <t>TCO / (capacidade/1M)</t>
        </is>
      </c>
      <c r="C9" s="2">
        <f>C7/(C8/1000000)</f>
        <v/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30" customWidth="1" min="7" max="7"/>
    <col width="32" customWidth="1" min="8" max="8"/>
  </cols>
  <sheetData>
    <row r="1">
      <c r="A1" s="1" t="inlineStr">
        <is>
          <t>Modelo</t>
        </is>
      </c>
      <c r="B1" s="1" t="inlineStr">
        <is>
          <t>Custo API BRL/mês</t>
        </is>
      </c>
      <c r="C1" s="1" t="inlineStr">
        <is>
          <t>TCO local BRL/mês</t>
        </is>
      </c>
      <c r="D1" s="1" t="inlineStr">
        <is>
          <t>Economia API-local</t>
        </is>
      </c>
      <c r="E1" s="1" t="inlineStr">
        <is>
          <t>Break-even tokens M/mês (mix atual)</t>
        </is>
      </c>
      <c r="F1" s="1" t="inlineStr">
        <is>
          <t>Status</t>
        </is>
      </c>
      <c r="G1" s="1" t="inlineStr">
        <is>
          <t>Break-even tokens M/mês (Batch)</t>
        </is>
      </c>
      <c r="H1" s="1" t="inlineStr">
        <is>
          <t>Custo API blended BRL/M (mix atual)</t>
        </is>
      </c>
    </row>
    <row r="2">
      <c r="A2" s="2">
        <f>API_OpenAI!A2</f>
        <v/>
      </c>
      <c r="B2" s="2">
        <f>API_OpenAI!F2</f>
        <v/>
      </c>
      <c r="C2" s="2">
        <f>Local!C7</f>
        <v/>
      </c>
      <c r="D2" s="2">
        <f>B2-C2</f>
        <v/>
      </c>
      <c r="E2" s="2">
        <f>C2/H2</f>
        <v/>
      </c>
      <c r="F2" s="2">
        <f>IF(D2&gt;0,"Local tende a vencer no custo direto","API tende a vencer no custo direto")</f>
        <v/>
      </c>
      <c r="G2" s="2">
        <f>E2/Premissas!$B$20</f>
        <v/>
      </c>
      <c r="H2" s="2">
        <f>API_OpenAI!F2/(Premissas!$B$14+Premissas!$B$15+Premissas!$B$16)</f>
        <v/>
      </c>
    </row>
    <row r="3">
      <c r="A3" s="2">
        <f>API_OpenAI!A3</f>
        <v/>
      </c>
      <c r="B3" s="2">
        <f>API_OpenAI!F3</f>
        <v/>
      </c>
      <c r="C3" s="2">
        <f>Local!C7</f>
        <v/>
      </c>
      <c r="D3" s="2">
        <f>B3-C3</f>
        <v/>
      </c>
      <c r="E3" s="2">
        <f>C3/H3</f>
        <v/>
      </c>
      <c r="F3" s="2">
        <f>IF(D3&gt;0,"Local tende a vencer no custo direto","API tende a vencer no custo direto")</f>
        <v/>
      </c>
      <c r="G3" s="2">
        <f>E3/Premissas!$B$20</f>
        <v/>
      </c>
      <c r="H3" s="2">
        <f>API_OpenAI!F3/(Premissas!$B$14+Premissas!$B$15+Premissas!$B$16)</f>
        <v/>
      </c>
    </row>
    <row r="4">
      <c r="A4" s="2">
        <f>API_OpenAI!A4</f>
        <v/>
      </c>
      <c r="B4" s="2">
        <f>API_OpenAI!F4</f>
        <v/>
      </c>
      <c r="C4" s="2">
        <f>Local!C7</f>
        <v/>
      </c>
      <c r="D4" s="2">
        <f>B4-C4</f>
        <v/>
      </c>
      <c r="E4" s="2">
        <f>C4/H4</f>
        <v/>
      </c>
      <c r="F4" s="2">
        <f>IF(D4&gt;0,"Local tende a vencer no custo direto","API tende a vencer no custo direto")</f>
        <v/>
      </c>
      <c r="G4" s="2">
        <f>E4/Premissas!$B$20</f>
        <v/>
      </c>
      <c r="H4" s="2">
        <f>API_OpenAI!F4/(Premissas!$B$14+Premissas!$B$15+Premissas!$B$16)</f>
        <v/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Câmbio BRL/USD</t>
        </is>
      </c>
      <c r="B1" s="1" t="inlineStr">
        <is>
          <t>Luna BRL/mês</t>
        </is>
      </c>
      <c r="C1" s="1" t="inlineStr">
        <is>
          <t>Terra BRL/mês</t>
        </is>
      </c>
      <c r="D1" s="1" t="inlineStr">
        <is>
          <t>Sol BRL/mês</t>
        </is>
      </c>
      <c r="E1" s="1" t="inlineStr">
        <is>
          <t>TCO local BRL/mês</t>
        </is>
      </c>
      <c r="F1" s="1" t="inlineStr">
        <is>
          <t>Break-even Sol M/mês</t>
        </is>
      </c>
      <c r="G1" s="1" t="inlineStr">
        <is>
          <t>Break-even Terra M/mês</t>
        </is>
      </c>
      <c r="H1" s="1" t="inlineStr">
        <is>
          <t>Break-even Luna M/mês</t>
        </is>
      </c>
    </row>
    <row r="2">
      <c r="A2" s="2" t="n">
        <v>4.4</v>
      </c>
      <c r="B2" s="2">
        <f>API_OpenAI!$E$4*$A2</f>
        <v/>
      </c>
      <c r="C2" s="2">
        <f>API_OpenAI!$E$3*$A2</f>
        <v/>
      </c>
      <c r="D2" s="2">
        <f>API_OpenAI!$E$2*$A2</f>
        <v/>
      </c>
      <c r="E2" s="2">
        <f>Local!$C$7</f>
        <v/>
      </c>
      <c r="F2">
        <f>E2/(D2/(Premissas!$B$14+Premissas!$B$15+Premissas!$B$16))</f>
        <v/>
      </c>
      <c r="G2">
        <f>E2/(C2/(Premissas!$B$14+Premissas!$B$15+Premissas!$B$16))</f>
        <v/>
      </c>
      <c r="H2">
        <f>E2/(B2/(Premissas!$B$14+Premissas!$B$15+Premissas!$B$16))</f>
        <v/>
      </c>
    </row>
    <row r="3">
      <c r="A3" s="2" t="n">
        <v>4.95</v>
      </c>
      <c r="B3" s="2">
        <f>API_OpenAI!$E$4*$A3</f>
        <v/>
      </c>
      <c r="C3" s="2">
        <f>API_OpenAI!$E$3*$A3</f>
        <v/>
      </c>
      <c r="D3" s="2">
        <f>API_OpenAI!$E$2*$A3</f>
        <v/>
      </c>
      <c r="E3" s="2">
        <f>Local!$C$7</f>
        <v/>
      </c>
      <c r="F3">
        <f>E3/(D3/(Premissas!$B$14+Premissas!$B$15+Premissas!$B$16))</f>
        <v/>
      </c>
      <c r="G3">
        <f>E3/(C3/(Premissas!$B$14+Premissas!$B$15+Premissas!$B$16))</f>
        <v/>
      </c>
      <c r="H3">
        <f>E3/(B3/(Premissas!$B$14+Premissas!$B$15+Premissas!$B$16))</f>
        <v/>
      </c>
    </row>
    <row r="4">
      <c r="A4" s="2" t="n">
        <v>5.5</v>
      </c>
      <c r="B4" s="2">
        <f>API_OpenAI!$E$4*$A4</f>
        <v/>
      </c>
      <c r="C4" s="2">
        <f>API_OpenAI!$E$3*$A4</f>
        <v/>
      </c>
      <c r="D4" s="2">
        <f>API_OpenAI!$E$2*$A4</f>
        <v/>
      </c>
      <c r="E4" s="2">
        <f>Local!$C$7</f>
        <v/>
      </c>
      <c r="F4">
        <f>E4/(D4/(Premissas!$B$14+Premissas!$B$15+Premissas!$B$16))</f>
        <v/>
      </c>
      <c r="G4">
        <f>E4/(C4/(Premissas!$B$14+Premissas!$B$15+Premissas!$B$16))</f>
        <v/>
      </c>
      <c r="H4">
        <f>E4/(B4/(Premissas!$B$14+Premissas!$B$15+Premissas!$B$16))</f>
        <v/>
      </c>
    </row>
    <row r="5">
      <c r="A5" s="2" t="n">
        <v>6.05</v>
      </c>
      <c r="B5" s="2">
        <f>API_OpenAI!$E$4*$A5</f>
        <v/>
      </c>
      <c r="C5" s="2">
        <f>API_OpenAI!$E$3*$A5</f>
        <v/>
      </c>
      <c r="D5" s="2">
        <f>API_OpenAI!$E$2*$A5</f>
        <v/>
      </c>
      <c r="E5" s="2">
        <f>Local!$C$7</f>
        <v/>
      </c>
      <c r="F5">
        <f>E5/(D5/(Premissas!$B$14+Premissas!$B$15+Premissas!$B$16))</f>
        <v/>
      </c>
      <c r="G5">
        <f>E5/(C5/(Premissas!$B$14+Premissas!$B$15+Premissas!$B$16))</f>
        <v/>
      </c>
      <c r="H5">
        <f>E5/(B5/(Premissas!$B$14+Premissas!$B$15+Premissas!$B$16))</f>
        <v/>
      </c>
    </row>
    <row r="6">
      <c r="A6" s="2" t="n">
        <v>6.6</v>
      </c>
      <c r="B6" s="2">
        <f>API_OpenAI!$E$4*$A6</f>
        <v/>
      </c>
      <c r="C6" s="2">
        <f>API_OpenAI!$E$3*$A6</f>
        <v/>
      </c>
      <c r="D6" s="2">
        <f>API_OpenAI!$E$2*$A6</f>
        <v/>
      </c>
      <c r="E6" s="2">
        <f>Local!$C$7</f>
        <v/>
      </c>
      <c r="F6">
        <f>E6/(D6/(Premissas!$B$14+Premissas!$B$15+Premissas!$B$16))</f>
        <v/>
      </c>
      <c r="G6">
        <f>E6/(C6/(Premissas!$B$14+Premissas!$B$15+Premissas!$B$16))</f>
        <v/>
      </c>
      <c r="H6">
        <f>E6/(B6/(Premissas!$B$14+Premissas!$B$15+Premissas!$B$16))</f>
        <v/>
      </c>
    </row>
    <row r="8">
      <c r="A8" s="1" t="inlineStr">
        <is>
          <t>Vida útil (meses)</t>
        </is>
      </c>
      <c r="B8" s="1" t="inlineStr">
        <is>
          <t>CAPEX amortizado BRL/mês</t>
        </is>
      </c>
      <c r="C8" s="1" t="inlineStr">
        <is>
          <t>TCO local BRL/mês</t>
        </is>
      </c>
      <c r="D8" s="1" t="inlineStr">
        <is>
          <t>Break-even Sol M/mês</t>
        </is>
      </c>
      <c r="E8" s="1" t="inlineStr">
        <is>
          <t>Break-even Terra M/mês</t>
        </is>
      </c>
      <c r="F8" s="1" t="inlineStr">
        <is>
          <t>Break-even Luna M/mês</t>
        </is>
      </c>
    </row>
    <row r="9">
      <c r="A9" t="n">
        <v>24</v>
      </c>
      <c r="B9">
        <f>(Premissas!$B$3-Premissas!$B$5)/A9</f>
        <v/>
      </c>
      <c r="C9">
        <f>Local!$C$7-Local!$C$2+B9</f>
        <v/>
      </c>
      <c r="D9">
        <f>C9/Break_even!$H$2</f>
        <v/>
      </c>
      <c r="E9">
        <f>C9/Break_even!$H$3</f>
        <v/>
      </c>
      <c r="F9">
        <f>C9/Break_even!$H$4</f>
        <v/>
      </c>
    </row>
    <row r="10">
      <c r="A10" t="n">
        <v>36</v>
      </c>
      <c r="B10">
        <f>(Premissas!$B$3-Premissas!$B$5)/A10</f>
        <v/>
      </c>
      <c r="C10">
        <f>Local!$C$7-Local!$C$2+B10</f>
        <v/>
      </c>
      <c r="D10">
        <f>C10/Break_even!$H$2</f>
        <v/>
      </c>
      <c r="E10">
        <f>C10/Break_even!$H$3</f>
        <v/>
      </c>
      <c r="F10">
        <f>C10/Break_even!$H$4</f>
        <v/>
      </c>
    </row>
    <row r="11">
      <c r="A11" t="n">
        <v>48</v>
      </c>
      <c r="B11">
        <f>(Premissas!$B$3-Premissas!$B$5)/A11</f>
        <v/>
      </c>
      <c r="C11">
        <f>Local!$C$7-Local!$C$2+B11</f>
        <v/>
      </c>
      <c r="D11">
        <f>C11/Break_even!$H$2</f>
        <v/>
      </c>
      <c r="E11">
        <f>C11/Break_even!$H$3</f>
        <v/>
      </c>
      <c r="F11">
        <f>C11/Break_even!$H$4</f>
        <v/>
      </c>
    </row>
    <row r="13">
      <c r="A13" s="1" t="inlineStr">
        <is>
          <t>Fator utilização</t>
        </is>
      </c>
      <c r="B13" s="1" t="inlineStr">
        <is>
          <t>Capacidade M tokens/mês</t>
        </is>
      </c>
      <c r="C13" s="1" t="inlineStr">
        <is>
          <t>Custo local BRL/M tokens</t>
        </is>
      </c>
      <c r="D13" s="1" t="inlineStr">
        <is>
          <t>API Sol blended BRL/M</t>
        </is>
      </c>
      <c r="E13" s="1" t="inlineStr">
        <is>
          <t>API Terra blended BRL/M</t>
        </is>
      </c>
      <c r="F13" s="1" t="inlineStr">
        <is>
          <t>API Luna blended BRL/M</t>
        </is>
      </c>
    </row>
    <row r="14">
      <c r="A14" t="n">
        <v>0.1</v>
      </c>
      <c r="B14">
        <f>Premissas!$B$17*3600*Premissas!$B$7*Premissas!$B$8*A14/1000000</f>
        <v/>
      </c>
      <c r="C14">
        <f>Local!$C$7/B14</f>
        <v/>
      </c>
      <c r="D14">
        <f>Break_even!$H$2</f>
        <v/>
      </c>
      <c r="E14">
        <f>Break_even!$H$3</f>
        <v/>
      </c>
      <c r="F14">
        <f>Break_even!$H$4</f>
        <v/>
      </c>
    </row>
    <row r="15">
      <c r="A15" t="n">
        <v>0.25</v>
      </c>
      <c r="B15">
        <f>Premissas!$B$17*3600*Premissas!$B$7*Premissas!$B$8*A15/1000000</f>
        <v/>
      </c>
      <c r="C15">
        <f>Local!$C$7/B15</f>
        <v/>
      </c>
      <c r="D15">
        <f>Break_even!$H$2</f>
        <v/>
      </c>
      <c r="E15">
        <f>Break_even!$H$3</f>
        <v/>
      </c>
      <c r="F15">
        <f>Break_even!$H$4</f>
        <v/>
      </c>
    </row>
    <row r="16">
      <c r="A16" t="n">
        <v>0.5</v>
      </c>
      <c r="B16">
        <f>Premissas!$B$17*3600*Premissas!$B$7*Premissas!$B$8*A16/1000000</f>
        <v/>
      </c>
      <c r="C16">
        <f>Local!$C$7/B16</f>
        <v/>
      </c>
      <c r="D16">
        <f>Break_even!$H$2</f>
        <v/>
      </c>
      <c r="E16">
        <f>Break_even!$H$3</f>
        <v/>
      </c>
      <c r="F16">
        <f>Break_even!$H$4</f>
        <v/>
      </c>
    </row>
    <row r="17">
      <c r="A17" t="n">
        <v>0.8</v>
      </c>
      <c r="B17">
        <f>Premissas!$B$17*3600*Premissas!$B$7*Premissas!$B$8*A17/1000000</f>
        <v/>
      </c>
      <c r="C17">
        <f>Local!$C$7/B17</f>
        <v/>
      </c>
      <c r="D17">
        <f>Break_even!$H$2</f>
        <v/>
      </c>
      <c r="E17">
        <f>Break_even!$H$3</f>
        <v/>
      </c>
      <c r="F17">
        <f>Break_even!$H$4</f>
        <v/>
      </c>
    </row>
    <row r="19">
      <c r="A19" s="1" t="inlineStr">
        <is>
          <t>Tarifa BRL/kWh</t>
        </is>
      </c>
      <c r="B19" s="1" t="inlineStr">
        <is>
          <t>Energia BRL/mês</t>
        </is>
      </c>
      <c r="C19" s="1" t="inlineStr">
        <is>
          <t>TCO local BRL/mês</t>
        </is>
      </c>
      <c r="D19" s="1" t="inlineStr">
        <is>
          <t>Break-even Sol M/mês</t>
        </is>
      </c>
      <c r="E19" s="1" t="inlineStr">
        <is>
          <t>Break-even Terra M/mês</t>
        </is>
      </c>
      <c r="F19" s="1" t="inlineStr">
        <is>
          <t>Break-even Luna M/mês</t>
        </is>
      </c>
    </row>
    <row r="20">
      <c r="A20">
        <f>Premissas!$B$9*0.7</f>
        <v/>
      </c>
      <c r="B20">
        <f>Premissas!$B$6*Premissas!$B$7*Premissas!$B$8*A20</f>
        <v/>
      </c>
      <c r="C20">
        <f>Local!$C$7-Local!$C$3+B20</f>
        <v/>
      </c>
      <c r="D20">
        <f>C20/Break_even!$H$2</f>
        <v/>
      </c>
      <c r="E20">
        <f>C20/Break_even!$H$3</f>
        <v/>
      </c>
      <c r="F20">
        <f>C20/Break_even!$H$4</f>
        <v/>
      </c>
    </row>
    <row r="21">
      <c r="A21">
        <f>Premissas!$B$9*0.85</f>
        <v/>
      </c>
      <c r="B21">
        <f>Premissas!$B$6*Premissas!$B$7*Premissas!$B$8*A21</f>
        <v/>
      </c>
      <c r="C21">
        <f>Local!$C$7-Local!$C$3+B21</f>
        <v/>
      </c>
      <c r="D21">
        <f>C21/Break_even!$H$2</f>
        <v/>
      </c>
      <c r="E21">
        <f>C21/Break_even!$H$3</f>
        <v/>
      </c>
      <c r="F21">
        <f>C21/Break_even!$H$4</f>
        <v/>
      </c>
    </row>
    <row r="22">
      <c r="A22">
        <f>Premissas!$B$9*1</f>
        <v/>
      </c>
      <c r="B22">
        <f>Premissas!$B$6*Premissas!$B$7*Premissas!$B$8*A22</f>
        <v/>
      </c>
      <c r="C22">
        <f>Local!$C$7-Local!$C$3+B22</f>
        <v/>
      </c>
      <c r="D22">
        <f>C22/Break_even!$H$2</f>
        <v/>
      </c>
      <c r="E22">
        <f>C22/Break_even!$H$3</f>
        <v/>
      </c>
      <c r="F22">
        <f>C22/Break_even!$H$4</f>
        <v/>
      </c>
    </row>
    <row r="23">
      <c r="A23">
        <f>Premissas!$B$9*1.15</f>
        <v/>
      </c>
      <c r="B23">
        <f>Premissas!$B$6*Premissas!$B$7*Premissas!$B$8*A23</f>
        <v/>
      </c>
      <c r="C23">
        <f>Local!$C$7-Local!$C$3+B23</f>
        <v/>
      </c>
      <c r="D23">
        <f>C23/Break_even!$H$2</f>
        <v/>
      </c>
      <c r="E23">
        <f>C23/Break_even!$H$3</f>
        <v/>
      </c>
      <c r="F23">
        <f>C23/Break_even!$H$4</f>
        <v/>
      </c>
    </row>
    <row r="24">
      <c r="A24">
        <f>Premissas!$B$9*1.3</f>
        <v/>
      </c>
      <c r="B24">
        <f>Premissas!$B$6*Premissas!$B$7*Premissas!$B$8*A24</f>
        <v/>
      </c>
      <c r="C24">
        <f>Local!$C$7-Local!$C$3+B24</f>
        <v/>
      </c>
      <c r="D24">
        <f>C24/Break_even!$H$2</f>
        <v/>
      </c>
      <c r="E24">
        <f>C24/Break_even!$H$3</f>
        <v/>
      </c>
      <c r="F24">
        <f>C24/Break_even!$H$4</f>
        <v/>
      </c>
    </row>
  </sheetData>
  <autoFilter ref="A1:E6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Calculadora TCO local versus API OpenAI</t>
        </is>
      </c>
      <c r="B1" s="4" t="n"/>
    </row>
    <row r="2">
      <c r="A2" t="inlineStr">
        <is>
          <t>Data da versão</t>
        </is>
      </c>
      <c r="B2" t="inlineStr">
        <is>
          <t>2026-09-01</t>
        </is>
      </c>
    </row>
    <row r="3">
      <c r="A3" t="inlineStr">
        <is>
          <t>Unidades</t>
        </is>
      </c>
      <c r="B3" t="inlineStr">
        <is>
          <t>Tokens em milhões; moeda em BRL salvo onde indicado.</t>
        </is>
      </c>
    </row>
    <row r="4">
      <c r="A4" t="inlineStr">
        <is>
          <t>Nota</t>
        </is>
      </c>
      <c r="B4" t="inlineStr">
        <is>
          <t>Recalcular no Excel/LibreOffice; preços são mutáveis e devem ser revalidados.</t>
        </is>
      </c>
    </row>
    <row r="5">
      <c r="A5" t="inlineStr">
        <is>
          <t>Revisão</t>
        </is>
      </c>
      <c r="B5" t="inlineStr">
        <is>
          <t>2026-09-01 (rev. 2): câmbio aplicado ao break-even; valor residual no CAPEX; coluna Batch; fatores de contexto longo por categoria; sensibilidade por câmbio, vida útil, utilização e tarifa.</t>
        </is>
      </c>
    </row>
    <row r="6">
      <c r="A6" t="inlineStr">
        <is>
          <t>Recalcular</t>
        </is>
      </c>
      <c r="B6" t="inlineStr">
        <is>
          <t>Arquivo salvo sem valores em cache; abra no Excel/LibreOffice e force o recálculo antes de ler resultados.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2026-09-01T13:42:41Z</dcterms:created>
  <dcterms:modified xmlns:dcterms="http://purl.org/dc/terms/" xmlns:xsi="http://www.w3.org/2001/XMLSchema-instance" xsi:type="dcterms:W3CDTF">2026-09-01T14:41:56Z</dcterms:modified>
</cp:coreProperties>
</file>