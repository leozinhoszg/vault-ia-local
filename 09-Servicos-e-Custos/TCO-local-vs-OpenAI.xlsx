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guimaraes\Downloads\vault-ia-local\09-Servicos-e-Custos\"/>
    </mc:Choice>
  </mc:AlternateContent>
  <xr:revisionPtr revIDLastSave="0" documentId="13_ncr:1_{B68FECBD-A737-4FCA-9523-6708DE86398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emissas" sheetId="1" r:id="rId1"/>
    <sheet name="API_OpenAI" sheetId="2" r:id="rId2"/>
    <sheet name="Local" sheetId="3" r:id="rId3"/>
    <sheet name="Break_even" sheetId="4" r:id="rId4"/>
    <sheet name="Sensibilidade" sheetId="5" r:id="rId5"/>
    <sheet name="Checks" sheetId="6" r:id="rId6"/>
    <sheet name="README" sheetId="7" r:id="rId7"/>
  </sheets>
  <definedNames>
    <definedName name="_xlnm._FilterDatabase" localSheetId="1" hidden="1">API_OpenAI!$A$1:$G$4</definedName>
    <definedName name="_xlnm._FilterDatabase" localSheetId="3" hidden="1">Break_even!$A$1:$H$4</definedName>
    <definedName name="_xlnm._FilterDatabase" localSheetId="2" hidden="1">Local!$A$1:$C$11</definedName>
    <definedName name="_xlnm._FilterDatabase" localSheetId="0" hidden="1">Premissas!$A$1:$D$26</definedName>
    <definedName name="_xlnm._FilterDatabase" localSheetId="4" hidden="1">Sensibilidade!$A$1:$H$6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6" l="1"/>
  <c r="E10" i="6" s="1"/>
  <c r="B9" i="6"/>
  <c r="E9" i="6" s="1"/>
  <c r="B8" i="6"/>
  <c r="E8" i="6" s="1"/>
  <c r="C7" i="6"/>
  <c r="B7" i="6"/>
  <c r="C6" i="6"/>
  <c r="C2" i="6"/>
  <c r="A24" i="5"/>
  <c r="B24" i="5" s="1"/>
  <c r="A23" i="5"/>
  <c r="B23" i="5" s="1"/>
  <c r="A22" i="5"/>
  <c r="B22" i="5" s="1"/>
  <c r="A21" i="5"/>
  <c r="B21" i="5" s="1"/>
  <c r="A20" i="5"/>
  <c r="B20" i="5" s="1"/>
  <c r="B17" i="5"/>
  <c r="B16" i="5"/>
  <c r="B15" i="5"/>
  <c r="B14" i="5"/>
  <c r="B11" i="5"/>
  <c r="B10" i="5"/>
  <c r="B9" i="5"/>
  <c r="B3" i="5"/>
  <c r="C2" i="5"/>
  <c r="A4" i="4"/>
  <c r="A3" i="4"/>
  <c r="A2" i="4"/>
  <c r="C11" i="3"/>
  <c r="C10" i="3"/>
  <c r="C8" i="3"/>
  <c r="C6" i="3"/>
  <c r="C7" i="3" s="1"/>
  <c r="E2" i="5" s="1"/>
  <c r="C5" i="3"/>
  <c r="C4" i="3"/>
  <c r="C3" i="3"/>
  <c r="C2" i="3"/>
  <c r="E4" i="2"/>
  <c r="B2" i="5" s="1"/>
  <c r="E3" i="2"/>
  <c r="C5" i="5" s="1"/>
  <c r="E2" i="2"/>
  <c r="D5" i="5" s="1"/>
  <c r="F3" i="2" l="1"/>
  <c r="C3" i="5"/>
  <c r="B4" i="5"/>
  <c r="F4" i="2"/>
  <c r="C4" i="5"/>
  <c r="E7" i="6"/>
  <c r="F2" i="2"/>
  <c r="H2" i="4" s="1"/>
  <c r="D4" i="5"/>
  <c r="B5" i="5"/>
  <c r="B6" i="5"/>
  <c r="D6" i="5"/>
  <c r="H2" i="5"/>
  <c r="G2" i="5"/>
  <c r="F2" i="5"/>
  <c r="D16" i="5"/>
  <c r="D15" i="5"/>
  <c r="D17" i="5"/>
  <c r="D14" i="5"/>
  <c r="E3" i="5"/>
  <c r="C4" i="6"/>
  <c r="E5" i="5"/>
  <c r="C22" i="5"/>
  <c r="C3" i="6"/>
  <c r="G4" i="2"/>
  <c r="C3" i="4"/>
  <c r="C11" i="5"/>
  <c r="C17" i="5"/>
  <c r="D3" i="5"/>
  <c r="C6" i="5"/>
  <c r="C5" i="6"/>
  <c r="B6" i="6"/>
  <c r="E6" i="6" s="1"/>
  <c r="C24" i="5"/>
  <c r="C14" i="5"/>
  <c r="C20" i="5"/>
  <c r="C21" i="5"/>
  <c r="C9" i="5"/>
  <c r="C15" i="5"/>
  <c r="B2" i="6"/>
  <c r="E2" i="6" s="1"/>
  <c r="E6" i="5"/>
  <c r="C23" i="5"/>
  <c r="C16" i="5"/>
  <c r="D2" i="5"/>
  <c r="C9" i="3"/>
  <c r="C4" i="4"/>
  <c r="B2" i="4"/>
  <c r="E4" i="5"/>
  <c r="C2" i="4"/>
  <c r="E2" i="4" s="1"/>
  <c r="C10" i="5"/>
  <c r="H4" i="4" l="1"/>
  <c r="B4" i="4"/>
  <c r="D4" i="4" s="1"/>
  <c r="F4" i="4" s="1"/>
  <c r="G2" i="2"/>
  <c r="G3" i="2"/>
  <c r="H3" i="4"/>
  <c r="B3" i="4"/>
  <c r="D23" i="5"/>
  <c r="F23" i="5"/>
  <c r="E23" i="5"/>
  <c r="G4" i="5"/>
  <c r="H4" i="5"/>
  <c r="F4" i="5"/>
  <c r="D3" i="4"/>
  <c r="F3" i="4" s="1"/>
  <c r="F6" i="5"/>
  <c r="H6" i="5"/>
  <c r="G6" i="5"/>
  <c r="H5" i="5"/>
  <c r="G5" i="5"/>
  <c r="F5" i="5"/>
  <c r="D24" i="5"/>
  <c r="F22" i="5"/>
  <c r="D22" i="5"/>
  <c r="D9" i="5"/>
  <c r="F9" i="5"/>
  <c r="E9" i="5"/>
  <c r="E20" i="5"/>
  <c r="D20" i="5"/>
  <c r="F20" i="5"/>
  <c r="D2" i="4"/>
  <c r="F2" i="4" s="1"/>
  <c r="H3" i="5"/>
  <c r="F3" i="5"/>
  <c r="G3" i="5"/>
  <c r="D21" i="5"/>
  <c r="D10" i="5"/>
  <c r="F10" i="5"/>
  <c r="B3" i="6"/>
  <c r="E3" i="6" s="1"/>
  <c r="G2" i="4"/>
  <c r="F11" i="5"/>
  <c r="E11" i="5"/>
  <c r="D11" i="5"/>
  <c r="E16" i="5" l="1"/>
  <c r="E15" i="5"/>
  <c r="E14" i="5"/>
  <c r="E17" i="5"/>
  <c r="E24" i="5"/>
  <c r="F15" i="5"/>
  <c r="F16" i="5"/>
  <c r="F17" i="5"/>
  <c r="F14" i="5"/>
  <c r="E22" i="5"/>
  <c r="E10" i="5"/>
  <c r="E21" i="5"/>
  <c r="E3" i="4"/>
  <c r="F24" i="5"/>
  <c r="F21" i="5"/>
  <c r="E4" i="4"/>
  <c r="G4" i="4" l="1"/>
  <c r="B5" i="6"/>
  <c r="E5" i="6" s="1"/>
  <c r="B4" i="6"/>
  <c r="E4" i="6" s="1"/>
  <c r="E11" i="6" s="1"/>
  <c r="G3" i="4"/>
</calcChain>
</file>

<file path=xl/sharedStrings.xml><?xml version="1.0" encoding="utf-8"?>
<sst xmlns="http://schemas.openxmlformats.org/spreadsheetml/2006/main" count="173" uniqueCount="148">
  <si>
    <t>Premissa</t>
  </si>
  <si>
    <t>Valor</t>
  </si>
  <si>
    <t>Unidade</t>
  </si>
  <si>
    <t>Observação</t>
  </si>
  <si>
    <t>Câmbio efetivo</t>
  </si>
  <si>
    <t>BRL/USD</t>
  </si>
  <si>
    <t>Inclui spread/impostos; substituir pela taxa contratada</t>
  </si>
  <si>
    <t>CAPEX local</t>
  </si>
  <si>
    <t>BRL</t>
  </si>
  <si>
    <t>Hardware, montagem e periféricos</t>
  </si>
  <si>
    <t>Vida útil</t>
  </si>
  <si>
    <t>meses</t>
  </si>
  <si>
    <t>Use 24/36/48 para sensibilidade</t>
  </si>
  <si>
    <t>Valor residual</t>
  </si>
  <si>
    <t>Estimativa ao final da vida útil</t>
  </si>
  <si>
    <t>Potência média</t>
  </si>
  <si>
    <t>kW</t>
  </si>
  <si>
    <t>Medida na tomada, não TDP</t>
  </si>
  <si>
    <t>Horas/dia</t>
  </si>
  <si>
    <t>h</t>
  </si>
  <si>
    <t>Carga média</t>
  </si>
  <si>
    <t>Dias/mês</t>
  </si>
  <si>
    <t>dias</t>
  </si>
  <si>
    <t>Dias efetivos</t>
  </si>
  <si>
    <t>Tarifa efetiva</t>
  </si>
  <si>
    <t>BRL/kWh</t>
  </si>
  <si>
    <t>Energia + impostos + bandeira</t>
  </si>
  <si>
    <t>Refrigeração mensal</t>
  </si>
  <si>
    <t>Parcela atribuída à IA</t>
  </si>
  <si>
    <t>Manutenção/garantia mensal</t>
  </si>
  <si>
    <t>Reserva média</t>
  </si>
  <si>
    <t>Operação/espaço mensal</t>
  </si>
  <si>
    <t>Equipe, rack, internet, backup</t>
  </si>
  <si>
    <t>Fator utilização</t>
  </si>
  <si>
    <t>%</t>
  </si>
  <si>
    <t>Tokens efetivos/capacidade teórica</t>
  </si>
  <si>
    <t>Tokens entrada</t>
  </si>
  <si>
    <t>M tokens/mês</t>
  </si>
  <si>
    <t>Sem cached input</t>
  </si>
  <si>
    <t>Tokens cached</t>
  </si>
  <si>
    <t>Parte do prompt reutilizada</t>
  </si>
  <si>
    <t>Tokens saída</t>
  </si>
  <si>
    <t>Resposta/agent output</t>
  </si>
  <si>
    <t>Velocidade decode</t>
  </si>
  <si>
    <t>tokens/s</t>
  </si>
  <si>
    <t>Medida no modelo e quantização alvo</t>
  </si>
  <si>
    <t>Data de consulta</t>
  </si>
  <si>
    <t>2026-09-01</t>
  </si>
  <si>
    <t>AAAA-MM-DD</t>
  </si>
  <si>
    <t>Preço oficial consultado em openai.com/api/pricing</t>
  </si>
  <si>
    <t>Batch API</t>
  </si>
  <si>
    <t>fator</t>
  </si>
  <si>
    <t>50% do standard para workloads assíncronos, sujeito às condições oficiais</t>
  </si>
  <si>
    <t>Sobretaxa contexto longo — entrada</t>
  </si>
  <si>
    <t>Fator sobre o preço de input acima do limite de preço-base (1 = sem sobretaxa)</t>
  </si>
  <si>
    <t>Cache writes</t>
  </si>
  <si>
    <t>US$/M</t>
  </si>
  <si>
    <t>Preencher quando aplicável; não presumir custo zero sem confirmação</t>
  </si>
  <si>
    <t>Sobretaxa contexto longo — cached</t>
  </si>
  <si>
    <t>Fator sobre o preço de cached input (1 = sem sobretaxa)</t>
  </si>
  <si>
    <t>Sobretaxa contexto longo — saída</t>
  </si>
  <si>
    <t>Fator sobre o preço de output (1 = sem sobretaxa)</t>
  </si>
  <si>
    <t>Taxa de desconto anual</t>
  </si>
  <si>
    <t>fração</t>
  </si>
  <si>
    <t>Custo de capital; usada somente se Método de CAPEX = 1</t>
  </si>
  <si>
    <t>Método de CAPEX</t>
  </si>
  <si>
    <t>0/1</t>
  </si>
  <si>
    <t>0 = linear (CAPEX − residual)/vida útil; 1 = anuidade com taxa de desconto</t>
  </si>
  <si>
    <t>Modelo</t>
  </si>
  <si>
    <t>Input US$/M</t>
  </si>
  <si>
    <t>Cached US$/M</t>
  </si>
  <si>
    <t>Output US$/M</t>
  </si>
  <si>
    <t>Custo mensal USD</t>
  </si>
  <si>
    <t>Custo mensal BRL</t>
  </si>
  <si>
    <t>Custo mensal BRL (Batch)</t>
  </si>
  <si>
    <t>GPT-5.6 Sol</t>
  </si>
  <si>
    <t>GPT-5.6 Terra</t>
  </si>
  <si>
    <t>GPT-5.6 Luna</t>
  </si>
  <si>
    <t>Item</t>
  </si>
  <si>
    <t>Fórmula</t>
  </si>
  <si>
    <t>CAPEX amortizado</t>
  </si>
  <si>
    <t>(CAPEX − residual) / vida útil, ou anuidade se Método de CAPEX = 1</t>
  </si>
  <si>
    <t>Energia</t>
  </si>
  <si>
    <t>kW × h/dia × dias × tarifa</t>
  </si>
  <si>
    <t>Refrigeração</t>
  </si>
  <si>
    <t>Manutenção/garantia</t>
  </si>
  <si>
    <t>Operação/espaço</t>
  </si>
  <si>
    <t>TCO local</t>
  </si>
  <si>
    <t>Capacidade mensal</t>
  </si>
  <si>
    <t>tokens/s × 3600 × h/dia × dias × utilização</t>
  </si>
  <si>
    <t>Custo local por M tokens</t>
  </si>
  <si>
    <t>TCO / (capacidade/1M)</t>
  </si>
  <si>
    <t>CAPEX linear (informativo)</t>
  </si>
  <si>
    <t>(CAPEX − residual) / vida útil</t>
  </si>
  <si>
    <t>CAPEX anuidade (informativo)</t>
  </si>
  <si>
    <t>(CAPEX − VR/(1+r)^n) × r/(1−(1+r)^−n), r mensal</t>
  </si>
  <si>
    <t>Custo API BRL/mês</t>
  </si>
  <si>
    <t>TCO local BRL/mês</t>
  </si>
  <si>
    <t>Economia API-local</t>
  </si>
  <si>
    <t>Break-even tokens M/mês (mix atual)</t>
  </si>
  <si>
    <t>Status</t>
  </si>
  <si>
    <t>Break-even tokens M/mês (Batch)</t>
  </si>
  <si>
    <t>Custo API blended BRL/M (mix atual)</t>
  </si>
  <si>
    <t>Câmbio BRL/USD</t>
  </si>
  <si>
    <t>Luna BRL/mês</t>
  </si>
  <si>
    <t>Terra BRL/mês</t>
  </si>
  <si>
    <t>Sol BRL/mês</t>
  </si>
  <si>
    <t>Break-even Sol M/mês</t>
  </si>
  <si>
    <t>Break-even Terra M/mês</t>
  </si>
  <si>
    <t>Break-even Luna M/mês</t>
  </si>
  <si>
    <t>Vida útil (meses)</t>
  </si>
  <si>
    <t>CAPEX linear BRL/mês</t>
  </si>
  <si>
    <t>Capacidade M tokens/mês</t>
  </si>
  <si>
    <t>Custo local BRL/M tokens</t>
  </si>
  <si>
    <t>API Sol blended BRL/M</t>
  </si>
  <si>
    <t>API Terra blended BRL/M</t>
  </si>
  <si>
    <t>API Luna blended BRL/M</t>
  </si>
  <si>
    <t>Tarifa BRL/kWh</t>
  </si>
  <si>
    <t>Energia BRL/mês</t>
  </si>
  <si>
    <t>Verificação</t>
  </si>
  <si>
    <t>Calculado</t>
  </si>
  <si>
    <t>Esperado (fórmula independente)</t>
  </si>
  <si>
    <t>Tolerância</t>
  </si>
  <si>
    <t>Referência com premissas padrão (Python, 2026-09-01)</t>
  </si>
  <si>
    <t>Break-even Sol M tokens/mês</t>
  </si>
  <si>
    <t>Break-even Terra M tokens/mês</t>
  </si>
  <si>
    <t>Break-even Luna M tokens/mês</t>
  </si>
  <si>
    <t>Custo API Sol BRL/mês</t>
  </si>
  <si>
    <t>Soma do mix de tokens M/mês</t>
  </si>
  <si>
    <t>Mix de tokens válido (≥0 e soma &gt;0)</t>
  </si>
  <si>
    <t>&gt;0</t>
  </si>
  <si>
    <t>—</t>
  </si>
  <si>
    <t>Premissas obrigatórias preenchidas (B2:B17, B19:B26)</t>
  </si>
  <si>
    <t>Vida útil e câmbio positivos</t>
  </si>
  <si>
    <t>VERDADEIRO</t>
  </si>
  <si>
    <t>STATUS GERAL</t>
  </si>
  <si>
    <t>Calculadora TCO local versus API OpenAI</t>
  </si>
  <si>
    <t>Data da versão</t>
  </si>
  <si>
    <t>Unidades</t>
  </si>
  <si>
    <t>Tokens em milhões; moeda em BRL salvo onde indicado.</t>
  </si>
  <si>
    <t>Nota</t>
  </si>
  <si>
    <t>Recalcular no Excel/LibreOffice; preços são mutáveis e devem ser revalidados.</t>
  </si>
  <si>
    <t>Revisão</t>
  </si>
  <si>
    <t>2026-09-01 (rev. 2): câmbio aplicado ao break-even; valor residual no CAPEX; coluna Batch; fatores de contexto longo por categoria; sensibilidade por câmbio, vida útil, utilização e tarifa.</t>
  </si>
  <si>
    <t>Recalcular</t>
  </si>
  <si>
    <t>Arquivo salvo sem valores em cache; abra no Excel/LibreOffice e force o recálculo antes de ler resultados.</t>
  </si>
  <si>
    <t>Checks</t>
  </si>
  <si>
    <t>Aba Checks reconcilia TCO, break-evens, custo API e premissas com fórmulas independentes; STATUS GERAL deve ser PASS.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</si>
</sst>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2" fillId="2" borderId="0" xfId="0" applyFont="1" applyFill="1"/>
  </cellXfs>
  <cellStyles count="1">
    <cellStyle name="Normal" xfId="0" builtinId="0"/>
  </cellStyles>
  <dxfs count="3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Sensibilidade ao câmbio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Sensibilidade!$B$1</c:f>
              <c:strCache>
                <c:ptCount val="1"/>
                <c:pt idx="0">
                  <c:v>Luna BRL/mês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Sensibilidade!$A$2:$A$6</c:f>
              <c:numCache>
                <c:formatCode>General</c:formatCode>
                <c:ptCount val="5"/>
                <c:pt idx="0">
                  <c:v>4.4000000000000004</c:v>
                </c:pt>
                <c:pt idx="1">
                  <c:v>4.95</c:v>
                </c:pt>
                <c:pt idx="2">
                  <c:v>5.5</c:v>
                </c:pt>
                <c:pt idx="3">
                  <c:v>6.05</c:v>
                </c:pt>
                <c:pt idx="4">
                  <c:v>6.6</c:v>
                </c:pt>
              </c:numCache>
            </c:numRef>
          </c:cat>
          <c:val>
            <c:numRef>
              <c:f>Sensibilidade!$B$2:$B$6</c:f>
              <c:numCache>
                <c:formatCode>General</c:formatCode>
                <c:ptCount val="5"/>
                <c:pt idx="0">
                  <c:v>221.76000000000002</c:v>
                </c:pt>
                <c:pt idx="1">
                  <c:v>249.48</c:v>
                </c:pt>
                <c:pt idx="2">
                  <c:v>277.2</c:v>
                </c:pt>
                <c:pt idx="3">
                  <c:v>304.91999999999996</c:v>
                </c:pt>
                <c:pt idx="4">
                  <c:v>332.64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1F-42DE-8905-A289ED5A0C3B}"/>
            </c:ext>
          </c:extLst>
        </c:ser>
        <c:ser>
          <c:idx val="1"/>
          <c:order val="1"/>
          <c:tx>
            <c:strRef>
              <c:f>Sensibilidade!$C$1</c:f>
              <c:strCache>
                <c:ptCount val="1"/>
                <c:pt idx="0">
                  <c:v>Terra BRL/mês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Sensibilidade!$A$2:$A$6</c:f>
              <c:numCache>
                <c:formatCode>General</c:formatCode>
                <c:ptCount val="5"/>
                <c:pt idx="0">
                  <c:v>4.4000000000000004</c:v>
                </c:pt>
                <c:pt idx="1">
                  <c:v>4.95</c:v>
                </c:pt>
                <c:pt idx="2">
                  <c:v>5.5</c:v>
                </c:pt>
                <c:pt idx="3">
                  <c:v>6.05</c:v>
                </c:pt>
                <c:pt idx="4">
                  <c:v>6.6</c:v>
                </c:pt>
              </c:numCache>
            </c:numRef>
          </c:cat>
          <c:val>
            <c:numRef>
              <c:f>Sensibilidade!$C$2:$C$6</c:f>
              <c:numCache>
                <c:formatCode>General</c:formatCode>
                <c:ptCount val="5"/>
                <c:pt idx="0">
                  <c:v>2217.6000000000004</c:v>
                </c:pt>
                <c:pt idx="1">
                  <c:v>2494.8000000000002</c:v>
                </c:pt>
                <c:pt idx="2">
                  <c:v>2772</c:v>
                </c:pt>
                <c:pt idx="3">
                  <c:v>3049.2</c:v>
                </c:pt>
                <c:pt idx="4">
                  <c:v>3326.3999999999996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1F-42DE-8905-A289ED5A0C3B}"/>
            </c:ext>
          </c:extLst>
        </c:ser>
        <c:ser>
          <c:idx val="2"/>
          <c:order val="2"/>
          <c:tx>
            <c:strRef>
              <c:f>Sensibilidade!$D$1</c:f>
              <c:strCache>
                <c:ptCount val="1"/>
                <c:pt idx="0">
                  <c:v>Sol BRL/mês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Sensibilidade!$A$2:$A$6</c:f>
              <c:numCache>
                <c:formatCode>General</c:formatCode>
                <c:ptCount val="5"/>
                <c:pt idx="0">
                  <c:v>4.4000000000000004</c:v>
                </c:pt>
                <c:pt idx="1">
                  <c:v>4.95</c:v>
                </c:pt>
                <c:pt idx="2">
                  <c:v>5.5</c:v>
                </c:pt>
                <c:pt idx="3">
                  <c:v>6.05</c:v>
                </c:pt>
                <c:pt idx="4">
                  <c:v>6.6</c:v>
                </c:pt>
              </c:numCache>
            </c:numRef>
          </c:cat>
          <c:val>
            <c:numRef>
              <c:f>Sensibilidade!$D$2:$D$6</c:f>
              <c:numCache>
                <c:formatCode>General</c:formatCode>
                <c:ptCount val="5"/>
                <c:pt idx="0">
                  <c:v>3995.2000000000003</c:v>
                </c:pt>
                <c:pt idx="1">
                  <c:v>4494.6000000000004</c:v>
                </c:pt>
                <c:pt idx="2">
                  <c:v>4994</c:v>
                </c:pt>
                <c:pt idx="3">
                  <c:v>5493.4</c:v>
                </c:pt>
                <c:pt idx="4">
                  <c:v>5992.7999999999993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A1F-42DE-8905-A289ED5A0C3B}"/>
            </c:ext>
          </c:extLst>
        </c:ser>
        <c:ser>
          <c:idx val="3"/>
          <c:order val="3"/>
          <c:tx>
            <c:strRef>
              <c:f>Sensibilidade!$E$1</c:f>
              <c:strCache>
                <c:ptCount val="1"/>
                <c:pt idx="0">
                  <c:v>TCO local BRL/mês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Sensibilidade!$A$2:$A$6</c:f>
              <c:numCache>
                <c:formatCode>General</c:formatCode>
                <c:ptCount val="5"/>
                <c:pt idx="0">
                  <c:v>4.4000000000000004</c:v>
                </c:pt>
                <c:pt idx="1">
                  <c:v>4.95</c:v>
                </c:pt>
                <c:pt idx="2">
                  <c:v>5.5</c:v>
                </c:pt>
                <c:pt idx="3">
                  <c:v>6.05</c:v>
                </c:pt>
                <c:pt idx="4">
                  <c:v>6.6</c:v>
                </c:pt>
              </c:numCache>
            </c:numRef>
          </c:cat>
          <c:val>
            <c:numRef>
              <c:f>Sensibilidade!$E$2:$E$6</c:f>
              <c:numCache>
                <c:formatCode>General</c:formatCode>
                <c:ptCount val="5"/>
                <c:pt idx="0">
                  <c:v>1768.4955555555557</c:v>
                </c:pt>
                <c:pt idx="1">
                  <c:v>1768.4955555555557</c:v>
                </c:pt>
                <c:pt idx="2">
                  <c:v>1768.4955555555557</c:v>
                </c:pt>
                <c:pt idx="3">
                  <c:v>1768.4955555555557</c:v>
                </c:pt>
                <c:pt idx="4">
                  <c:v>1768.4955555555557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A1F-42DE-8905-A289ED5A0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BRL/USD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BRL/mês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0CF8B-0623-4403-BD73-2068CEF3B9DF}" name="tPremissas" displayName="tPremissas" ref="A1:D26" totalsRowShown="0" headerRowDxfId="34">
  <autoFilter ref="A1:D26" xr:uid="{ECD0CF8B-0623-4403-BD73-2068CEF3B9DF}"/>
  <tableColumns count="4">
    <tableColumn id="1" xr3:uid="{D529DD14-040B-4530-9C7E-EB03F4C977F1}" name="Premissa"/>
    <tableColumn id="2" xr3:uid="{57D35F90-ECDD-4BB9-BCF9-6C791B23B907}" name="Valor"/>
    <tableColumn id="3" xr3:uid="{EF466758-6399-47EB-AC61-C77B9110F61A}" name="Unidade"/>
    <tableColumn id="4" xr3:uid="{EEB8D87B-001E-49D7-86A8-084AC07856EC}" name="Observ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5B44A6-C61F-4B24-A59C-E263CA938BFF}" name="tAPI" displayName="tAPI" ref="A1:G4" totalsRowShown="0" headerRowDxfId="9" dataDxfId="10">
  <autoFilter ref="A1:G4" xr:uid="{3C5B44A6-C61F-4B24-A59C-E263CA938BFF}"/>
  <tableColumns count="7">
    <tableColumn id="1" xr3:uid="{1F4BDA3B-2CCB-4FF2-A4F9-B7D62FAD8DDC}" name="Modelo" dataDxfId="17"/>
    <tableColumn id="2" xr3:uid="{EE0C0831-D43C-4DDA-B5FC-43157886D496}" name="Input US$/M" dataDxfId="16"/>
    <tableColumn id="3" xr3:uid="{46D49F06-A94B-4383-BE4F-3894B32D1270}" name="Cached US$/M" dataDxfId="15"/>
    <tableColumn id="4" xr3:uid="{6EB4D8AA-F4CD-4B17-901F-31688FC8453F}" name="Output US$/M" dataDxfId="14"/>
    <tableColumn id="5" xr3:uid="{3EFE8198-FE55-4FCC-9E09-3927EB280B96}" name="Custo mensal USD" dataDxfId="13">
      <calculatedColumnFormula>(Premissas!$B$14*B2*Premissas!$B$21)+(Premissas!$B$15*(C2+Premissas!$B$22)*Premissas!$B$23)+(Premissas!$B$16*D2*Premissas!$B$24)</calculatedColumnFormula>
    </tableColumn>
    <tableColumn id="6" xr3:uid="{434CEFEB-24A9-4C01-9985-45C636957190}" name="Custo mensal BRL" dataDxfId="12">
      <calculatedColumnFormula>E2*Premissas!$B$2</calculatedColumnFormula>
    </tableColumn>
    <tableColumn id="7" xr3:uid="{03D7E215-D5A4-4614-AB84-1B2F376B9C42}" name="Custo mensal BRL (Batch)" dataDxfId="11">
      <calculatedColumnFormula>F2*Premissas!$B$20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4D310A-8902-4895-9B00-CE60620B0476}" name="tLocal" displayName="tLocal" ref="A1:C11" totalsRowShown="0" headerRowDxfId="29" dataDxfId="30">
  <autoFilter ref="A1:C11" xr:uid="{B54D310A-8902-4895-9B00-CE60620B0476}"/>
  <tableColumns count="3">
    <tableColumn id="1" xr3:uid="{441F357B-59AA-4552-8018-9581D39279F3}" name="Item" dataDxfId="33"/>
    <tableColumn id="2" xr3:uid="{7031287E-1A52-4902-83E2-EF4C35987581}" name="Fórmula" dataDxfId="32"/>
    <tableColumn id="3" xr3:uid="{2DCA4289-DD46-4649-95DD-A2733F84E8AF}" name="Custo mensal BRL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608983-B3B7-43B6-9462-EE2F18DA6E5F}" name="tBreakEven" displayName="tBreakEven" ref="A1:H4" totalsRowShown="0" headerRowDxfId="18" dataDxfId="19">
  <autoFilter ref="A1:H4" xr:uid="{99608983-B3B7-43B6-9462-EE2F18DA6E5F}"/>
  <tableColumns count="8">
    <tableColumn id="1" xr3:uid="{0F8A92C6-EACC-4043-988B-286025590832}" name="Modelo" dataDxfId="27">
      <calculatedColumnFormula>API_OpenAI!A2</calculatedColumnFormula>
    </tableColumn>
    <tableColumn id="2" xr3:uid="{6427EE19-CCC9-44E4-B583-3D9F7EF32D4A}" name="Custo API BRL/mês" dataDxfId="26">
      <calculatedColumnFormula>API_OpenAI!F2</calculatedColumnFormula>
    </tableColumn>
    <tableColumn id="3" xr3:uid="{85448E30-AAE2-42F0-84BD-35B062D56236}" name="TCO local BRL/mês" dataDxfId="25"/>
    <tableColumn id="4" xr3:uid="{600DC37B-EC6D-43DC-91E7-3EBD263B7125}" name="Economia API-local" dataDxfId="24">
      <calculatedColumnFormula>B2-C2</calculatedColumnFormula>
    </tableColumn>
    <tableColumn id="5" xr3:uid="{718C313F-8E80-4BBE-ABDA-45B4310F1650}" name="Break-even tokens M/mês (mix atual)" dataDxfId="23">
      <calculatedColumnFormula>C2/H2</calculatedColumnFormula>
    </tableColumn>
    <tableColumn id="6" xr3:uid="{260D8ECE-FB7C-4386-BCCA-CA4DF130A476}" name="Status" dataDxfId="22">
      <calculatedColumnFormula>IF(D2&gt;0,"Local tende a vencer no custo direto","API tende a vencer no custo direto")</calculatedColumnFormula>
    </tableColumn>
    <tableColumn id="7" xr3:uid="{FD33DBE7-5086-4FF5-A239-37FE7CB02496}" name="Break-even tokens M/mês (Batch)" dataDxfId="21">
      <calculatedColumnFormula>E2/Premissas!$B$20</calculatedColumnFormula>
    </tableColumn>
    <tableColumn id="8" xr3:uid="{944056A9-47C0-47FF-BDD0-2E0742399A0A}" name="Custo API blended BRL/M (mix atual)" dataDxfId="20">
      <calculatedColumnFormula>API_OpenAI!F2/(Premissas!$B$14+Premissas!$B$15+Premissas!$B$16)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565B83-CB8F-41DC-8F3F-F742B0CB6246}" name="tSensCambio" displayName="tSensCambio" ref="A1:H6" totalsRowShown="0" headerRowDxfId="3">
  <autoFilter ref="A1:H6" xr:uid="{02565B83-CB8F-41DC-8F3F-F742B0CB6246}"/>
  <tableColumns count="8">
    <tableColumn id="1" xr3:uid="{4778120C-B537-47CC-8680-4B38C2013B85}" name="Câmbio BRL/USD" dataDxfId="8"/>
    <tableColumn id="2" xr3:uid="{173C08C8-B133-4D4B-94D3-0B172CF56320}" name="Luna BRL/mês" dataDxfId="7">
      <calculatedColumnFormula>API_OpenAI!$E$4*$A2</calculatedColumnFormula>
    </tableColumn>
    <tableColumn id="3" xr3:uid="{A32C2C08-F4D0-4139-9C0F-AA79C169061A}" name="Terra BRL/mês" dataDxfId="6">
      <calculatedColumnFormula>API_OpenAI!$E$3*$A2</calculatedColumnFormula>
    </tableColumn>
    <tableColumn id="4" xr3:uid="{99ACA2FB-62F4-47C7-AA4F-A756604179A8}" name="Sol BRL/mês" dataDxfId="5">
      <calculatedColumnFormula>API_OpenAI!$E$2*$A2</calculatedColumnFormula>
    </tableColumn>
    <tableColumn id="5" xr3:uid="{E907C24D-7505-4C69-A565-32E062991851}" name="TCO local BRL/mês" dataDxfId="4">
      <calculatedColumnFormula>Local!$C$7</calculatedColumnFormula>
    </tableColumn>
    <tableColumn id="6" xr3:uid="{D72839F7-F5F0-4240-882F-B865B4B6F7D9}" name="Break-even Sol M/mês">
      <calculatedColumnFormula>E2/(D2/(Premissas!$B$14+Premissas!$B$15+Premissas!$B$16))</calculatedColumnFormula>
    </tableColumn>
    <tableColumn id="7" xr3:uid="{2AEAA591-6533-43AC-A1A4-F49B101E3916}" name="Break-even Terra M/mês">
      <calculatedColumnFormula>E2/(C2/(Premissas!$B$14+Premissas!$B$15+Premissas!$B$16))</calculatedColumnFormula>
    </tableColumn>
    <tableColumn id="8" xr3:uid="{9EF7E152-1C82-47FB-9B66-0119E515997E}" name="Break-even Luna M/mês">
      <calculatedColumnFormula>E2/(B2/(Premissas!$B$14+Premissas!$B$15+Premissas!$B$16))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150935-5B5E-468C-A068-C624F02B1EE2}" name="tSensVidaUtil" displayName="tSensVidaUtil" ref="A8:F11" totalsRowShown="0" headerRowDxfId="2">
  <autoFilter ref="A8:F11" xr:uid="{76150935-5B5E-468C-A068-C624F02B1EE2}"/>
  <tableColumns count="6">
    <tableColumn id="1" xr3:uid="{B4B3E0E7-F453-48C0-A76D-3527686E0EA2}" name="Vida útil (meses)"/>
    <tableColumn id="2" xr3:uid="{6A0DFAA1-5265-45FD-AA43-DC372B8F7548}" name="CAPEX linear BRL/mês">
      <calculatedColumnFormula>(Premissas!$B$3-Premissas!$B$5)/A9</calculatedColumnFormula>
    </tableColumn>
    <tableColumn id="3" xr3:uid="{CA374620-13C1-4EB9-9E3F-83988A85654E}" name="TCO local BRL/mês">
      <calculatedColumnFormula>Local!$C$7-Local!$C$2+B9</calculatedColumnFormula>
    </tableColumn>
    <tableColumn id="4" xr3:uid="{04BAEFAE-BBD6-4B44-B90B-AF5E0D106EC6}" name="Break-even Sol M/mês">
      <calculatedColumnFormula>C9/Break_even!$H$2</calculatedColumnFormula>
    </tableColumn>
    <tableColumn id="5" xr3:uid="{5CB4159B-B1A4-49A5-83FA-AF91DA8A9A42}" name="Break-even Terra M/mês">
      <calculatedColumnFormula>C9/Break_even!$H$3</calculatedColumnFormula>
    </tableColumn>
    <tableColumn id="6" xr3:uid="{9AFC64F9-3C94-4D51-B68A-EF776F3392F8}" name="Break-even Luna M/mês">
      <calculatedColumnFormula>C9/Break_even!$H$4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D1DBF7-751C-4EC7-8454-58B63EF02F5B}" name="tSensUtilizacao" displayName="tSensUtilizacao" ref="A13:F17" totalsRowShown="0" headerRowDxfId="1">
  <autoFilter ref="A13:F17" xr:uid="{B6D1DBF7-751C-4EC7-8454-58B63EF02F5B}"/>
  <tableColumns count="6">
    <tableColumn id="1" xr3:uid="{B5AD85DC-A764-4E36-93E1-062E36F961C6}" name="Fator utilização"/>
    <tableColumn id="2" xr3:uid="{1BD226A9-ED2D-4289-A4D3-8A28938C0956}" name="Capacidade M tokens/mês">
      <calculatedColumnFormula>Premissas!$B$17*3600*Premissas!$B$7*Premissas!$B$8*A14/1000000</calculatedColumnFormula>
    </tableColumn>
    <tableColumn id="3" xr3:uid="{844CB375-0BDD-40E4-AC4E-A2EB3157AB2B}" name="Custo local BRL/M tokens">
      <calculatedColumnFormula>Local!$C$7/B14</calculatedColumnFormula>
    </tableColumn>
    <tableColumn id="4" xr3:uid="{FB478902-C09F-4F8D-BD69-F2800FD495FC}" name="API Sol blended BRL/M">
      <calculatedColumnFormula>Break_even!$H$2</calculatedColumnFormula>
    </tableColumn>
    <tableColumn id="5" xr3:uid="{BFED92A5-F497-4679-9DD6-B45F9F3E5EB1}" name="API Terra blended BRL/M">
      <calculatedColumnFormula>Break_even!$H$3</calculatedColumnFormula>
    </tableColumn>
    <tableColumn id="6" xr3:uid="{C91C4DCF-1FF3-4EB6-AF6F-3E90D97DA3BC}" name="API Luna blended BRL/M">
      <calculatedColumnFormula>Break_even!$H$4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D44DCE-E69E-415B-BA82-2C807E3D0CBE}" name="tSensTarifa" displayName="tSensTarifa" ref="A19:F24" totalsRowShown="0" headerRowDxfId="0">
  <autoFilter ref="A19:F24" xr:uid="{50D44DCE-E69E-415B-BA82-2C807E3D0CBE}"/>
  <tableColumns count="6">
    <tableColumn id="1" xr3:uid="{B046DD0B-67C8-41DF-8D12-D1402A04FE7C}" name="Tarifa BRL/kWh"/>
    <tableColumn id="2" xr3:uid="{A6CD8636-0EC5-47B2-9753-1DCE9A5FB7D8}" name="Energia BRL/mês">
      <calculatedColumnFormula>Premissas!$B$6*Premissas!$B$7*Premissas!$B$8*A20</calculatedColumnFormula>
    </tableColumn>
    <tableColumn id="3" xr3:uid="{19DC386D-17EF-4DEA-B9A7-0128F4DE2AF9}" name="TCO local BRL/mês">
      <calculatedColumnFormula>Local!$C$7-Local!$C$3+B20</calculatedColumnFormula>
    </tableColumn>
    <tableColumn id="4" xr3:uid="{543D3B16-4CCF-4726-B362-F9A90CA124EB}" name="Break-even Sol M/mês">
      <calculatedColumnFormula>C20/Break_even!$H$2</calculatedColumnFormula>
    </tableColumn>
    <tableColumn id="5" xr3:uid="{C1877C14-64D6-43A1-AF4C-1A55463401A8}" name="Break-even Terra M/mês">
      <calculatedColumnFormula>C20/Break_even!$H$3</calculatedColumnFormula>
    </tableColumn>
    <tableColumn id="6" xr3:uid="{C1925369-8AA0-4BDB-A1CB-6B374E34B24C}" name="Break-even Luna M/mês">
      <calculatedColumnFormula>C20/Break_even!$H$4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F599B0-6611-445F-842A-47935DDC3B2D}" name="tChecks" displayName="tChecks" ref="A1:F11" totalsRowShown="0" headerRowDxfId="28">
  <autoFilter ref="A1:F11" xr:uid="{20F599B0-6611-445F-842A-47935DDC3B2D}"/>
  <tableColumns count="6">
    <tableColumn id="1" xr3:uid="{0F23CE74-04E5-4187-B945-5FBE938490E7}" name="Verificação"/>
    <tableColumn id="2" xr3:uid="{6AA143FA-BECE-4ED9-A691-57319970BC47}" name="Calculado"/>
    <tableColumn id="3" xr3:uid="{D5B95D64-985F-4384-B4B7-2030BDD2ABE2}" name="Esperado (fórmula independente)"/>
    <tableColumn id="4" xr3:uid="{59E26291-FE7C-428E-95D5-00854204FDCA}" name="Tolerância"/>
    <tableColumn id="5" xr3:uid="{66A6A50A-09A7-4BF1-A5EA-0F99BBBC6F6D}" name="Status"/>
    <tableColumn id="6" xr3:uid="{AB465742-37BC-43C6-8F33-2EAF999B39A4}" name="Referência com premissas padrão (Python, 2026-09-01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4" width="24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ht="43.5" x14ac:dyDescent="0.35">
      <c r="A2" s="2" t="s">
        <v>4</v>
      </c>
      <c r="B2" s="3">
        <v>5.5</v>
      </c>
      <c r="C2" s="2" t="s">
        <v>5</v>
      </c>
      <c r="D2" s="2" t="s">
        <v>6</v>
      </c>
    </row>
    <row r="3" spans="1:4" ht="29" x14ac:dyDescent="0.35">
      <c r="A3" s="2" t="s">
        <v>7</v>
      </c>
      <c r="B3" s="3">
        <v>20000</v>
      </c>
      <c r="C3" s="2" t="s">
        <v>8</v>
      </c>
      <c r="D3" s="2" t="s">
        <v>9</v>
      </c>
    </row>
    <row r="4" spans="1:4" ht="29" x14ac:dyDescent="0.35">
      <c r="A4" s="2" t="s">
        <v>10</v>
      </c>
      <c r="B4" s="3">
        <v>36</v>
      </c>
      <c r="C4" s="2" t="s">
        <v>11</v>
      </c>
      <c r="D4" s="2" t="s">
        <v>12</v>
      </c>
    </row>
    <row r="5" spans="1:4" ht="29" x14ac:dyDescent="0.35">
      <c r="A5" s="2" t="s">
        <v>13</v>
      </c>
      <c r="B5" s="3">
        <v>0</v>
      </c>
      <c r="C5" s="2" t="s">
        <v>8</v>
      </c>
      <c r="D5" s="2" t="s">
        <v>14</v>
      </c>
    </row>
    <row r="6" spans="1:4" ht="29" x14ac:dyDescent="0.35">
      <c r="A6" s="2" t="s">
        <v>15</v>
      </c>
      <c r="B6" s="3">
        <v>0.65</v>
      </c>
      <c r="C6" s="2" t="s">
        <v>16</v>
      </c>
      <c r="D6" s="2" t="s">
        <v>17</v>
      </c>
    </row>
    <row r="7" spans="1:4" x14ac:dyDescent="0.35">
      <c r="A7" s="2" t="s">
        <v>18</v>
      </c>
      <c r="B7" s="3">
        <v>12</v>
      </c>
      <c r="C7" s="2" t="s">
        <v>19</v>
      </c>
      <c r="D7" s="2" t="s">
        <v>20</v>
      </c>
    </row>
    <row r="8" spans="1:4" x14ac:dyDescent="0.35">
      <c r="A8" s="2" t="s">
        <v>21</v>
      </c>
      <c r="B8" s="3">
        <v>26</v>
      </c>
      <c r="C8" s="2" t="s">
        <v>22</v>
      </c>
      <c r="D8" s="2" t="s">
        <v>23</v>
      </c>
    </row>
    <row r="9" spans="1:4" ht="29" x14ac:dyDescent="0.35">
      <c r="A9" s="2" t="s">
        <v>24</v>
      </c>
      <c r="B9" s="3">
        <v>1.05</v>
      </c>
      <c r="C9" s="2" t="s">
        <v>25</v>
      </c>
      <c r="D9" s="2" t="s">
        <v>26</v>
      </c>
    </row>
    <row r="10" spans="1:4" x14ac:dyDescent="0.35">
      <c r="A10" s="2" t="s">
        <v>27</v>
      </c>
      <c r="B10" s="3">
        <v>150</v>
      </c>
      <c r="C10" s="2" t="s">
        <v>8</v>
      </c>
      <c r="D10" s="2" t="s">
        <v>28</v>
      </c>
    </row>
    <row r="11" spans="1:4" ht="29" x14ac:dyDescent="0.35">
      <c r="A11" s="2" t="s">
        <v>29</v>
      </c>
      <c r="B11" s="3">
        <v>250</v>
      </c>
      <c r="C11" s="2" t="s">
        <v>8</v>
      </c>
      <c r="D11" s="2" t="s">
        <v>30</v>
      </c>
    </row>
    <row r="12" spans="1:4" ht="29" x14ac:dyDescent="0.35">
      <c r="A12" s="2" t="s">
        <v>31</v>
      </c>
      <c r="B12" s="3">
        <v>600</v>
      </c>
      <c r="C12" s="2" t="s">
        <v>8</v>
      </c>
      <c r="D12" s="2" t="s">
        <v>32</v>
      </c>
    </row>
    <row r="13" spans="1:4" ht="29" x14ac:dyDescent="0.35">
      <c r="A13" s="2" t="s">
        <v>33</v>
      </c>
      <c r="B13" s="3">
        <v>0.5</v>
      </c>
      <c r="C13" s="2" t="s">
        <v>34</v>
      </c>
      <c r="D13" s="2" t="s">
        <v>35</v>
      </c>
    </row>
    <row r="14" spans="1:4" x14ac:dyDescent="0.35">
      <c r="A14" s="2" t="s">
        <v>36</v>
      </c>
      <c r="B14" s="3">
        <v>100</v>
      </c>
      <c r="C14" s="2" t="s">
        <v>37</v>
      </c>
      <c r="D14" s="2" t="s">
        <v>38</v>
      </c>
    </row>
    <row r="15" spans="1:4" x14ac:dyDescent="0.35">
      <c r="A15" s="2" t="s">
        <v>39</v>
      </c>
      <c r="B15" s="3">
        <v>20</v>
      </c>
      <c r="C15" s="2" t="s">
        <v>37</v>
      </c>
      <c r="D15" s="2" t="s">
        <v>40</v>
      </c>
    </row>
    <row r="16" spans="1:4" x14ac:dyDescent="0.35">
      <c r="A16" s="2" t="s">
        <v>41</v>
      </c>
      <c r="B16" s="3">
        <v>25</v>
      </c>
      <c r="C16" s="2" t="s">
        <v>37</v>
      </c>
      <c r="D16" s="2" t="s">
        <v>42</v>
      </c>
    </row>
    <row r="17" spans="1:4" ht="29" x14ac:dyDescent="0.35">
      <c r="A17" s="2" t="s">
        <v>43</v>
      </c>
      <c r="B17" s="3">
        <v>35</v>
      </c>
      <c r="C17" s="2" t="s">
        <v>44</v>
      </c>
      <c r="D17" s="2" t="s">
        <v>45</v>
      </c>
    </row>
    <row r="18" spans="1:4" x14ac:dyDescent="0.35">
      <c r="A18" s="2"/>
      <c r="B18" s="3"/>
      <c r="C18" s="2"/>
      <c r="D18" s="2"/>
    </row>
    <row r="19" spans="1:4" x14ac:dyDescent="0.35">
      <c r="A19" t="s">
        <v>46</v>
      </c>
      <c r="B19" t="s">
        <v>47</v>
      </c>
      <c r="C19" t="s">
        <v>48</v>
      </c>
      <c r="D19" t="s">
        <v>49</v>
      </c>
    </row>
    <row r="20" spans="1:4" x14ac:dyDescent="0.35">
      <c r="A20" t="s">
        <v>50</v>
      </c>
      <c r="B20">
        <v>0.5</v>
      </c>
      <c r="C20" t="s">
        <v>51</v>
      </c>
      <c r="D20" t="s">
        <v>52</v>
      </c>
    </row>
    <row r="21" spans="1:4" x14ac:dyDescent="0.35">
      <c r="A21" t="s">
        <v>53</v>
      </c>
      <c r="B21">
        <v>1</v>
      </c>
      <c r="C21" t="s">
        <v>51</v>
      </c>
      <c r="D21" t="s">
        <v>54</v>
      </c>
    </row>
    <row r="22" spans="1:4" x14ac:dyDescent="0.35">
      <c r="A22" t="s">
        <v>55</v>
      </c>
      <c r="B22">
        <v>0</v>
      </c>
      <c r="C22" t="s">
        <v>56</v>
      </c>
      <c r="D22" t="s">
        <v>57</v>
      </c>
    </row>
    <row r="23" spans="1:4" x14ac:dyDescent="0.35">
      <c r="A23" t="s">
        <v>58</v>
      </c>
      <c r="B23">
        <v>1</v>
      </c>
      <c r="C23" t="s">
        <v>51</v>
      </c>
      <c r="D23" t="s">
        <v>59</v>
      </c>
    </row>
    <row r="24" spans="1:4" x14ac:dyDescent="0.35">
      <c r="A24" t="s">
        <v>60</v>
      </c>
      <c r="B24">
        <v>1</v>
      </c>
      <c r="C24" t="s">
        <v>51</v>
      </c>
      <c r="D24" t="s">
        <v>61</v>
      </c>
    </row>
    <row r="25" spans="1:4" x14ac:dyDescent="0.35">
      <c r="A25" t="s">
        <v>62</v>
      </c>
      <c r="B25">
        <v>0.1</v>
      </c>
      <c r="C25" t="s">
        <v>63</v>
      </c>
      <c r="D25" t="s">
        <v>64</v>
      </c>
    </row>
    <row r="26" spans="1:4" x14ac:dyDescent="0.35">
      <c r="A26" t="s">
        <v>65</v>
      </c>
      <c r="B26">
        <v>0</v>
      </c>
      <c r="C26" t="s">
        <v>66</v>
      </c>
      <c r="D26" t="s">
        <v>67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7" width="24" customWidth="1"/>
  </cols>
  <sheetData>
    <row r="1" spans="1:7" x14ac:dyDescent="0.35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</row>
    <row r="2" spans="1:7" x14ac:dyDescent="0.35">
      <c r="A2" s="2" t="s">
        <v>75</v>
      </c>
      <c r="B2" s="2">
        <v>4</v>
      </c>
      <c r="C2" s="2">
        <v>0.4</v>
      </c>
      <c r="D2" s="2">
        <v>20</v>
      </c>
      <c r="E2" s="2">
        <f>(Premissas!$B$14*B2*Premissas!$B$21)+(Premissas!$B$15*(C2+Premissas!$B$22)*Premissas!$B$23)+(Premissas!$B$16*D2*Premissas!$B$24)</f>
        <v>908</v>
      </c>
      <c r="F2" s="2">
        <f>E2*Premissas!$B$2</f>
        <v>4994</v>
      </c>
      <c r="G2" s="2">
        <f>F2*Premissas!$B$20</f>
        <v>2497</v>
      </c>
    </row>
    <row r="3" spans="1:7" x14ac:dyDescent="0.35">
      <c r="A3" s="2" t="s">
        <v>76</v>
      </c>
      <c r="B3" s="2">
        <v>2</v>
      </c>
      <c r="C3" s="2">
        <v>0.2</v>
      </c>
      <c r="D3" s="2">
        <v>12</v>
      </c>
      <c r="E3" s="2">
        <f>(Premissas!$B$14*B3*Premissas!$B$21)+(Premissas!$B$15*(C3+Premissas!$B$22)*Premissas!$B$23)+(Premissas!$B$16*D3*Premissas!$B$24)</f>
        <v>504</v>
      </c>
      <c r="F3" s="2">
        <f>E3*Premissas!$B$2</f>
        <v>2772</v>
      </c>
      <c r="G3" s="2">
        <f>F3*Premissas!$B$20</f>
        <v>1386</v>
      </c>
    </row>
    <row r="4" spans="1:7" x14ac:dyDescent="0.35">
      <c r="A4" s="2" t="s">
        <v>77</v>
      </c>
      <c r="B4" s="2">
        <v>0.2</v>
      </c>
      <c r="C4" s="2">
        <v>0.02</v>
      </c>
      <c r="D4" s="2">
        <v>1.2</v>
      </c>
      <c r="E4" s="2">
        <f>(Premissas!$B$14*B4*Premissas!$B$21)+(Premissas!$B$15*(C4+Premissas!$B$22)*Premissas!$B$23)+(Premissas!$B$16*D4*Premissas!$B$24)</f>
        <v>50.4</v>
      </c>
      <c r="F4" s="2">
        <f>E4*Premissas!$B$2</f>
        <v>277.2</v>
      </c>
      <c r="G4" s="2">
        <f>F4*Premissas!$B$20</f>
        <v>138.6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24" customWidth="1"/>
  </cols>
  <sheetData>
    <row r="1" spans="1:3" x14ac:dyDescent="0.35">
      <c r="A1" s="1" t="s">
        <v>78</v>
      </c>
      <c r="B1" s="1" t="s">
        <v>79</v>
      </c>
      <c r="C1" s="1" t="s">
        <v>73</v>
      </c>
    </row>
    <row r="2" spans="1:3" ht="43.5" x14ac:dyDescent="0.35">
      <c r="A2" s="2" t="s">
        <v>80</v>
      </c>
      <c r="B2" s="2" t="s">
        <v>81</v>
      </c>
      <c r="C2" s="2">
        <f>IF(Premissas!$B$26=1,(Premissas!$B$3-Premissas!$B$5/(1+((1+Premissas!$B$25)^(1/12)-1))^Premissas!$B$4)*((1+Premissas!$B$25)^(1/12)-1)/(1-(1+((1+Premissas!$B$25)^(1/12)-1))^(-Premissas!$B$4)),(Premissas!$B$3-Premissas!$B$5)/Premissas!$B$4)</f>
        <v>555.55555555555554</v>
      </c>
    </row>
    <row r="3" spans="1:3" x14ac:dyDescent="0.35">
      <c r="A3" s="2" t="s">
        <v>82</v>
      </c>
      <c r="B3" s="2" t="s">
        <v>83</v>
      </c>
      <c r="C3" s="2">
        <f>Premissas!B6*Premissas!B7*Premissas!B8*Premissas!B9</f>
        <v>212.94000000000003</v>
      </c>
    </row>
    <row r="4" spans="1:3" x14ac:dyDescent="0.35">
      <c r="A4" s="2" t="s">
        <v>84</v>
      </c>
      <c r="B4" s="2"/>
      <c r="C4" s="2">
        <f>Premissas!B10</f>
        <v>150</v>
      </c>
    </row>
    <row r="5" spans="1:3" x14ac:dyDescent="0.35">
      <c r="A5" s="2" t="s">
        <v>85</v>
      </c>
      <c r="B5" s="2"/>
      <c r="C5" s="2">
        <f>Premissas!B11</f>
        <v>250</v>
      </c>
    </row>
    <row r="6" spans="1:3" x14ac:dyDescent="0.35">
      <c r="A6" s="2" t="s">
        <v>86</v>
      </c>
      <c r="B6" s="2"/>
      <c r="C6" s="2">
        <f>Premissas!B12</f>
        <v>600</v>
      </c>
    </row>
    <row r="7" spans="1:3" x14ac:dyDescent="0.35">
      <c r="A7" s="2" t="s">
        <v>87</v>
      </c>
      <c r="B7" s="2"/>
      <c r="C7" s="2">
        <f>SUM(C2:C6)</f>
        <v>1768.4955555555557</v>
      </c>
    </row>
    <row r="8" spans="1:3" ht="29" x14ac:dyDescent="0.35">
      <c r="A8" s="2" t="s">
        <v>88</v>
      </c>
      <c r="B8" s="2" t="s">
        <v>89</v>
      </c>
      <c r="C8" s="2">
        <f>Premissas!B17*3600*Premissas!B7*Premissas!B8*Premissas!B13</f>
        <v>19656000</v>
      </c>
    </row>
    <row r="9" spans="1:3" x14ac:dyDescent="0.35">
      <c r="A9" s="2" t="s">
        <v>90</v>
      </c>
      <c r="B9" s="2" t="s">
        <v>91</v>
      </c>
      <c r="C9" s="2">
        <f>C7/(C8/1000000)</f>
        <v>89.972301361190262</v>
      </c>
    </row>
    <row r="10" spans="1:3" ht="29" x14ac:dyDescent="0.35">
      <c r="A10" s="2" t="s">
        <v>92</v>
      </c>
      <c r="B10" s="2" t="s">
        <v>93</v>
      </c>
      <c r="C10" s="2">
        <f>(Premissas!$B$3-Premissas!$B$5)/Premissas!$B$4</f>
        <v>555.55555555555554</v>
      </c>
    </row>
    <row r="11" spans="1:3" ht="29" x14ac:dyDescent="0.35">
      <c r="A11" s="2" t="s">
        <v>94</v>
      </c>
      <c r="B11" s="2" t="s">
        <v>95</v>
      </c>
      <c r="C11" s="2">
        <f>(Premissas!$B$3-Premissas!$B$5/(1+((1+Premissas!$B$25)^(1/12)-1))^Premissas!$B$4)*((1+Premissas!$B$25)^(1/12)-1)/(1-(1+((1+Premissas!$B$25)^(1/12)-1))^(-Premissas!$B$4))</f>
        <v>641.30398252996235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24" customWidth="1"/>
    <col min="5" max="5" width="34.36328125" customWidth="1"/>
    <col min="6" max="6" width="24" customWidth="1"/>
    <col min="7" max="7" width="31.36328125" customWidth="1"/>
    <col min="8" max="8" width="33.6328125" customWidth="1"/>
  </cols>
  <sheetData>
    <row r="1" spans="1:8" ht="29" x14ac:dyDescent="0.35">
      <c r="A1" s="1" t="s">
        <v>68</v>
      </c>
      <c r="B1" s="1" t="s">
        <v>96</v>
      </c>
      <c r="C1" s="1" t="s">
        <v>97</v>
      </c>
      <c r="D1" s="1" t="s">
        <v>98</v>
      </c>
      <c r="E1" s="1" t="s">
        <v>99</v>
      </c>
      <c r="F1" s="1" t="s">
        <v>100</v>
      </c>
      <c r="G1" s="1" t="s">
        <v>101</v>
      </c>
      <c r="H1" s="1" t="s">
        <v>102</v>
      </c>
    </row>
    <row r="2" spans="1:8" x14ac:dyDescent="0.35">
      <c r="A2" s="2" t="str">
        <f>API_OpenAI!A2</f>
        <v>GPT-5.6 Sol</v>
      </c>
      <c r="B2" s="2">
        <f>API_OpenAI!F2</f>
        <v>4994</v>
      </c>
      <c r="C2" s="2">
        <f>Local!C7</f>
        <v>1768.4955555555557</v>
      </c>
      <c r="D2" s="2">
        <f>B2-C2</f>
        <v>3225.5044444444443</v>
      </c>
      <c r="E2" s="2">
        <f>C2/H2</f>
        <v>51.347988697548175</v>
      </c>
      <c r="F2" s="2" t="str">
        <f>IF(D2&gt;0,"Local tende a vencer no custo direto","API tende a vencer no custo direto")</f>
        <v>Local tende a vencer no custo direto</v>
      </c>
      <c r="G2" s="2">
        <f>E2/Premissas!$B$20</f>
        <v>102.69597739509635</v>
      </c>
      <c r="H2" s="2">
        <f>API_OpenAI!F2/(Premissas!$B$14+Premissas!$B$15+Premissas!$B$16)</f>
        <v>34.441379310344828</v>
      </c>
    </row>
    <row r="3" spans="1:8" x14ac:dyDescent="0.35">
      <c r="A3" s="2" t="str">
        <f>API_OpenAI!A3</f>
        <v>GPT-5.6 Terra</v>
      </c>
      <c r="B3" s="2">
        <f>API_OpenAI!F3</f>
        <v>2772</v>
      </c>
      <c r="C3" s="2">
        <f>Local!C7</f>
        <v>1768.4955555555557</v>
      </c>
      <c r="D3" s="2">
        <f>B3-C3</f>
        <v>1003.5044444444443</v>
      </c>
      <c r="E3" s="2">
        <f>C3/H3</f>
        <v>92.507884399551088</v>
      </c>
      <c r="F3" s="2" t="str">
        <f>IF(D3&gt;0,"Local tende a vencer no custo direto","API tende a vencer no custo direto")</f>
        <v>Local tende a vencer no custo direto</v>
      </c>
      <c r="G3" s="2">
        <f>E3/Premissas!$B$20</f>
        <v>185.01576879910218</v>
      </c>
      <c r="H3" s="2">
        <f>API_OpenAI!F3/(Premissas!$B$14+Premissas!$B$15+Premissas!$B$16)</f>
        <v>19.117241379310343</v>
      </c>
    </row>
    <row r="4" spans="1:8" x14ac:dyDescent="0.35">
      <c r="A4" s="2" t="str">
        <f>API_OpenAI!A4</f>
        <v>GPT-5.6 Luna</v>
      </c>
      <c r="B4" s="2">
        <f>API_OpenAI!F4</f>
        <v>277.2</v>
      </c>
      <c r="C4" s="2">
        <f>Local!C7</f>
        <v>1768.4955555555557</v>
      </c>
      <c r="D4" s="2">
        <f>B4-C4</f>
        <v>-1491.2955555555557</v>
      </c>
      <c r="E4" s="2">
        <f>C4/H4</f>
        <v>925.07884399551085</v>
      </c>
      <c r="F4" s="2" t="str">
        <f>IF(D4&gt;0,"Local tende a vencer no custo direto","API tende a vencer no custo direto")</f>
        <v>API tende a vencer no custo direto</v>
      </c>
      <c r="G4" s="2">
        <f>E4/Premissas!$B$20</f>
        <v>1850.1576879910217</v>
      </c>
      <c r="H4" s="2">
        <f>API_OpenAI!F4/(Premissas!$B$14+Premissas!$B$15+Premissas!$B$16)</f>
        <v>1.9117241379310344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8" width="26" customWidth="1"/>
  </cols>
  <sheetData>
    <row r="1" spans="1:8" x14ac:dyDescent="0.3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97</v>
      </c>
      <c r="F1" s="1" t="s">
        <v>107</v>
      </c>
      <c r="G1" s="1" t="s">
        <v>108</v>
      </c>
      <c r="H1" s="1" t="s">
        <v>109</v>
      </c>
    </row>
    <row r="2" spans="1:8" x14ac:dyDescent="0.35">
      <c r="A2" s="2">
        <v>4.4000000000000004</v>
      </c>
      <c r="B2" s="2">
        <f>API_OpenAI!$E$4*$A2</f>
        <v>221.76000000000002</v>
      </c>
      <c r="C2" s="2">
        <f>API_OpenAI!$E$3*$A2</f>
        <v>2217.6000000000004</v>
      </c>
      <c r="D2" s="2">
        <f>API_OpenAI!$E$2*$A2</f>
        <v>3995.2000000000003</v>
      </c>
      <c r="E2" s="2">
        <f>Local!$C$7</f>
        <v>1768.4955555555557</v>
      </c>
      <c r="F2">
        <f>E2/(D2/(Premissas!$B$14+Premissas!$B$15+Premissas!$B$16))</f>
        <v>64.184985871935211</v>
      </c>
      <c r="G2">
        <f>E2/(C2/(Premissas!$B$14+Premissas!$B$15+Premissas!$B$16))</f>
        <v>115.63485549943883</v>
      </c>
      <c r="H2">
        <f>E2/(B2/(Premissas!$B$14+Premissas!$B$15+Premissas!$B$16))</f>
        <v>1156.3485549943885</v>
      </c>
    </row>
    <row r="3" spans="1:8" x14ac:dyDescent="0.35">
      <c r="A3" s="2">
        <v>4.95</v>
      </c>
      <c r="B3" s="2">
        <f>API_OpenAI!$E$4*$A3</f>
        <v>249.48</v>
      </c>
      <c r="C3" s="2">
        <f>API_OpenAI!$E$3*$A3</f>
        <v>2494.8000000000002</v>
      </c>
      <c r="D3" s="2">
        <f>API_OpenAI!$E$2*$A3</f>
        <v>4494.6000000000004</v>
      </c>
      <c r="E3" s="2">
        <f>Local!$C$7</f>
        <v>1768.4955555555557</v>
      </c>
      <c r="F3">
        <f>E3/(D3/(Premissas!$B$14+Premissas!$B$15+Premissas!$B$16))</f>
        <v>57.053320775053521</v>
      </c>
      <c r="G3">
        <f>E3/(C3/(Premissas!$B$14+Premissas!$B$15+Premissas!$B$16))</f>
        <v>102.7865382217234</v>
      </c>
      <c r="H3">
        <f>E3/(B3/(Premissas!$B$14+Premissas!$B$15+Premissas!$B$16))</f>
        <v>1027.8653822172344</v>
      </c>
    </row>
    <row r="4" spans="1:8" x14ac:dyDescent="0.35">
      <c r="A4" s="2">
        <v>5.5</v>
      </c>
      <c r="B4" s="2">
        <f>API_OpenAI!$E$4*$A4</f>
        <v>277.2</v>
      </c>
      <c r="C4" s="2">
        <f>API_OpenAI!$E$3*$A4</f>
        <v>2772</v>
      </c>
      <c r="D4" s="2">
        <f>API_OpenAI!$E$2*$A4</f>
        <v>4994</v>
      </c>
      <c r="E4" s="2">
        <f>Local!$C$7</f>
        <v>1768.4955555555557</v>
      </c>
      <c r="F4">
        <f>E4/(D4/(Premissas!$B$14+Premissas!$B$15+Premissas!$B$16))</f>
        <v>51.347988697548175</v>
      </c>
      <c r="G4">
        <f>E4/(C4/(Premissas!$B$14+Premissas!$B$15+Premissas!$B$16))</f>
        <v>92.507884399551088</v>
      </c>
      <c r="H4">
        <f>E4/(B4/(Premissas!$B$14+Premissas!$B$15+Premissas!$B$16))</f>
        <v>925.07884399551085</v>
      </c>
    </row>
    <row r="5" spans="1:8" x14ac:dyDescent="0.35">
      <c r="A5" s="2">
        <v>6.05</v>
      </c>
      <c r="B5" s="2">
        <f>API_OpenAI!$E$4*$A5</f>
        <v>304.91999999999996</v>
      </c>
      <c r="C5" s="2">
        <f>API_OpenAI!$E$3*$A5</f>
        <v>3049.2</v>
      </c>
      <c r="D5" s="2">
        <f>API_OpenAI!$E$2*$A5</f>
        <v>5493.4</v>
      </c>
      <c r="E5" s="2">
        <f>Local!$C$7</f>
        <v>1768.4955555555557</v>
      </c>
      <c r="F5">
        <f>E5/(D5/(Premissas!$B$14+Premissas!$B$15+Premissas!$B$16))</f>
        <v>46.679989725043789</v>
      </c>
      <c r="G5">
        <f>E5/(C5/(Premissas!$B$14+Premissas!$B$15+Premissas!$B$16))</f>
        <v>84.098076726864619</v>
      </c>
      <c r="H5">
        <f>E5/(B5/(Premissas!$B$14+Premissas!$B$15+Premissas!$B$16))</f>
        <v>840.98076726864622</v>
      </c>
    </row>
    <row r="6" spans="1:8" x14ac:dyDescent="0.35">
      <c r="A6" s="2">
        <v>6.6</v>
      </c>
      <c r="B6" s="2">
        <f>API_OpenAI!$E$4*$A6</f>
        <v>332.64</v>
      </c>
      <c r="C6" s="2">
        <f>API_OpenAI!$E$3*$A6</f>
        <v>3326.3999999999996</v>
      </c>
      <c r="D6" s="2">
        <f>API_OpenAI!$E$2*$A6</f>
        <v>5992.7999999999993</v>
      </c>
      <c r="E6" s="2">
        <f>Local!$C$7</f>
        <v>1768.4955555555557</v>
      </c>
      <c r="F6">
        <f>E6/(D6/(Premissas!$B$14+Premissas!$B$15+Premissas!$B$16))</f>
        <v>42.789990581290148</v>
      </c>
      <c r="G6">
        <f>E6/(C6/(Premissas!$B$14+Premissas!$B$15+Premissas!$B$16))</f>
        <v>77.089903666292571</v>
      </c>
      <c r="H6">
        <f>E6/(B6/(Premissas!$B$14+Premissas!$B$15+Premissas!$B$16))</f>
        <v>770.8990366629256</v>
      </c>
    </row>
    <row r="8" spans="1:8" x14ac:dyDescent="0.35">
      <c r="A8" s="1" t="s">
        <v>110</v>
      </c>
      <c r="B8" s="1" t="s">
        <v>111</v>
      </c>
      <c r="C8" s="1" t="s">
        <v>97</v>
      </c>
      <c r="D8" s="1" t="s">
        <v>107</v>
      </c>
      <c r="E8" s="1" t="s">
        <v>108</v>
      </c>
      <c r="F8" s="1" t="s">
        <v>109</v>
      </c>
    </row>
    <row r="9" spans="1:8" x14ac:dyDescent="0.35">
      <c r="A9">
        <v>24</v>
      </c>
      <c r="B9">
        <f>(Premissas!$B$3-Premissas!$B$5)/A9</f>
        <v>833.33333333333337</v>
      </c>
      <c r="C9">
        <f>Local!$C$7-Local!$C$2+B9</f>
        <v>2046.2733333333335</v>
      </c>
      <c r="D9">
        <f>C9/Break_even!$H$2</f>
        <v>59.41322253370712</v>
      </c>
      <c r="E9">
        <f>C9/Break_even!$H$3</f>
        <v>107.03810726310728</v>
      </c>
      <c r="F9">
        <f>C9/Break_even!$H$4</f>
        <v>1070.3810726310728</v>
      </c>
    </row>
    <row r="10" spans="1:8" x14ac:dyDescent="0.35">
      <c r="A10">
        <v>36</v>
      </c>
      <c r="B10">
        <f>(Premissas!$B$3-Premissas!$B$5)/A10</f>
        <v>555.55555555555554</v>
      </c>
      <c r="C10">
        <f>Local!$C$7-Local!$C$2+B10</f>
        <v>1768.4955555555557</v>
      </c>
      <c r="D10">
        <f>C10/Break_even!$H$2</f>
        <v>51.347988697548175</v>
      </c>
      <c r="E10">
        <f>C10/Break_even!$H$3</f>
        <v>92.507884399551088</v>
      </c>
      <c r="F10">
        <f>C10/Break_even!$H$4</f>
        <v>925.07884399551085</v>
      </c>
    </row>
    <row r="11" spans="1:8" x14ac:dyDescent="0.35">
      <c r="A11">
        <v>48</v>
      </c>
      <c r="B11">
        <f>(Premissas!$B$3-Premissas!$B$5)/A11</f>
        <v>416.66666666666669</v>
      </c>
      <c r="C11">
        <f>Local!$C$7-Local!$C$2+B11</f>
        <v>1629.6066666666668</v>
      </c>
      <c r="D11">
        <f>C11/Break_even!$H$2</f>
        <v>47.315371779468698</v>
      </c>
      <c r="E11">
        <f>C11/Break_even!$H$3</f>
        <v>85.242772967772979</v>
      </c>
      <c r="F11">
        <f>C11/Break_even!$H$4</f>
        <v>852.42772967772976</v>
      </c>
    </row>
    <row r="13" spans="1:8" x14ac:dyDescent="0.35">
      <c r="A13" s="1" t="s">
        <v>33</v>
      </c>
      <c r="B13" s="1" t="s">
        <v>112</v>
      </c>
      <c r="C13" s="1" t="s">
        <v>113</v>
      </c>
      <c r="D13" s="1" t="s">
        <v>114</v>
      </c>
      <c r="E13" s="1" t="s">
        <v>115</v>
      </c>
      <c r="F13" s="1" t="s">
        <v>116</v>
      </c>
    </row>
    <row r="14" spans="1:8" x14ac:dyDescent="0.35">
      <c r="A14">
        <v>0.1</v>
      </c>
      <c r="B14">
        <f>Premissas!$B$17*3600*Premissas!$B$7*Premissas!$B$8*A14/1000000</f>
        <v>3.9312</v>
      </c>
      <c r="C14">
        <f>Local!$C$7/B14</f>
        <v>449.86150680595131</v>
      </c>
      <c r="D14">
        <f>Break_even!$H$2</f>
        <v>34.441379310344828</v>
      </c>
      <c r="E14">
        <f>Break_even!$H$3</f>
        <v>19.117241379310343</v>
      </c>
      <c r="F14">
        <f>Break_even!$H$4</f>
        <v>1.9117241379310344</v>
      </c>
    </row>
    <row r="15" spans="1:8" x14ac:dyDescent="0.35">
      <c r="A15">
        <v>0.25</v>
      </c>
      <c r="B15">
        <f>Premissas!$B$17*3600*Premissas!$B$7*Premissas!$B$8*A15/1000000</f>
        <v>9.8279999999999994</v>
      </c>
      <c r="C15">
        <f>Local!$C$7/B15</f>
        <v>179.94460272238052</v>
      </c>
      <c r="D15">
        <f>Break_even!$H$2</f>
        <v>34.441379310344828</v>
      </c>
      <c r="E15">
        <f>Break_even!$H$3</f>
        <v>19.117241379310343</v>
      </c>
      <c r="F15">
        <f>Break_even!$H$4</f>
        <v>1.9117241379310344</v>
      </c>
    </row>
    <row r="16" spans="1:8" x14ac:dyDescent="0.35">
      <c r="A16">
        <v>0.5</v>
      </c>
      <c r="B16">
        <f>Premissas!$B$17*3600*Premissas!$B$7*Premissas!$B$8*A16/1000000</f>
        <v>19.655999999999999</v>
      </c>
      <c r="C16">
        <f>Local!$C$7/B16</f>
        <v>89.972301361190262</v>
      </c>
      <c r="D16">
        <f>Break_even!$H$2</f>
        <v>34.441379310344828</v>
      </c>
      <c r="E16">
        <f>Break_even!$H$3</f>
        <v>19.117241379310343</v>
      </c>
      <c r="F16">
        <f>Break_even!$H$4</f>
        <v>1.9117241379310344</v>
      </c>
    </row>
    <row r="17" spans="1:6" x14ac:dyDescent="0.35">
      <c r="A17">
        <v>0.8</v>
      </c>
      <c r="B17">
        <f>Premissas!$B$17*3600*Premissas!$B$7*Premissas!$B$8*A17/1000000</f>
        <v>31.4496</v>
      </c>
      <c r="C17">
        <f>Local!$C$7/B17</f>
        <v>56.232688350743913</v>
      </c>
      <c r="D17">
        <f>Break_even!$H$2</f>
        <v>34.441379310344828</v>
      </c>
      <c r="E17">
        <f>Break_even!$H$3</f>
        <v>19.117241379310343</v>
      </c>
      <c r="F17">
        <f>Break_even!$H$4</f>
        <v>1.9117241379310344</v>
      </c>
    </row>
    <row r="19" spans="1:6" x14ac:dyDescent="0.35">
      <c r="A19" s="1" t="s">
        <v>117</v>
      </c>
      <c r="B19" s="1" t="s">
        <v>118</v>
      </c>
      <c r="C19" s="1" t="s">
        <v>97</v>
      </c>
      <c r="D19" s="1" t="s">
        <v>107</v>
      </c>
      <c r="E19" s="1" t="s">
        <v>108</v>
      </c>
      <c r="F19" s="1" t="s">
        <v>109</v>
      </c>
    </row>
    <row r="20" spans="1:6" x14ac:dyDescent="0.35">
      <c r="A20">
        <f>Premissas!$B$9*0.7</f>
        <v>0.73499999999999999</v>
      </c>
      <c r="B20">
        <f>Premissas!$B$6*Premissas!$B$7*Premissas!$B$8*A20</f>
        <v>149.05799999999999</v>
      </c>
      <c r="C20">
        <f>Local!$C$7-Local!$C$3+B20</f>
        <v>1704.6135555555556</v>
      </c>
      <c r="D20">
        <f>C20/Break_even!$H$2</f>
        <v>49.493184933030747</v>
      </c>
      <c r="E20">
        <f>C20/Break_even!$H$3</f>
        <v>89.166293490460177</v>
      </c>
      <c r="F20">
        <f>C20/Break_even!$H$4</f>
        <v>891.66293490460168</v>
      </c>
    </row>
    <row r="21" spans="1:6" x14ac:dyDescent="0.35">
      <c r="A21">
        <f>Premissas!$B$9*0.85</f>
        <v>0.89249999999999996</v>
      </c>
      <c r="B21">
        <f>Premissas!$B$6*Premissas!$B$7*Premissas!$B$8*A21</f>
        <v>180.999</v>
      </c>
      <c r="C21">
        <f>Local!$C$7-Local!$C$3+B21</f>
        <v>1736.5545555555557</v>
      </c>
      <c r="D21">
        <f>C21/Break_even!$H$2</f>
        <v>50.420586815289461</v>
      </c>
      <c r="E21">
        <f>C21/Break_even!$H$3</f>
        <v>90.837088945005632</v>
      </c>
      <c r="F21">
        <f>C21/Break_even!$H$4</f>
        <v>908.37088945005621</v>
      </c>
    </row>
    <row r="22" spans="1:6" x14ac:dyDescent="0.35">
      <c r="A22">
        <f>Premissas!$B$9*1</f>
        <v>1.05</v>
      </c>
      <c r="B22">
        <f>Premissas!$B$6*Premissas!$B$7*Premissas!$B$8*A22</f>
        <v>212.94000000000003</v>
      </c>
      <c r="C22">
        <f>Local!$C$7-Local!$C$3+B22</f>
        <v>1768.4955555555557</v>
      </c>
      <c r="D22">
        <f>C22/Break_even!$H$2</f>
        <v>51.347988697548175</v>
      </c>
      <c r="E22">
        <f>C22/Break_even!$H$3</f>
        <v>92.507884399551088</v>
      </c>
      <c r="F22">
        <f>C22/Break_even!$H$4</f>
        <v>925.07884399551085</v>
      </c>
    </row>
    <row r="23" spans="1:6" x14ac:dyDescent="0.35">
      <c r="A23">
        <f>Premissas!$B$9*1.15</f>
        <v>1.2075</v>
      </c>
      <c r="B23">
        <f>Premissas!$B$6*Premissas!$B$7*Premissas!$B$8*A23</f>
        <v>244.88100000000003</v>
      </c>
      <c r="C23">
        <f>Local!$C$7-Local!$C$3+B23</f>
        <v>1800.4365555555557</v>
      </c>
      <c r="D23">
        <f>C23/Break_even!$H$2</f>
        <v>52.275390579806881</v>
      </c>
      <c r="E23">
        <f>C23/Break_even!$H$3</f>
        <v>94.178679854096544</v>
      </c>
      <c r="F23">
        <f>C23/Break_even!$H$4</f>
        <v>941.78679854096538</v>
      </c>
    </row>
    <row r="24" spans="1:6" x14ac:dyDescent="0.35">
      <c r="A24">
        <f>Premissas!$B$9*1.3</f>
        <v>1.3650000000000002</v>
      </c>
      <c r="B24">
        <f>Premissas!$B$6*Premissas!$B$7*Premissas!$B$8*A24</f>
        <v>276.82200000000006</v>
      </c>
      <c r="C24">
        <f>Local!$C$7-Local!$C$3+B24</f>
        <v>1832.3775555555558</v>
      </c>
      <c r="D24">
        <f>C24/Break_even!$H$2</f>
        <v>53.202792462065595</v>
      </c>
      <c r="E24">
        <f>C24/Break_even!$H$3</f>
        <v>95.849475308641999</v>
      </c>
      <c r="F24">
        <f>C24/Break_even!$H$4</f>
        <v>958.49475308641991</v>
      </c>
    </row>
  </sheetData>
  <pageMargins left="0.75" right="0.75" top="1" bottom="1" header="0.5" footer="0.5"/>
  <drawing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8" customWidth="1"/>
    <col min="2" max="2" width="18" customWidth="1"/>
    <col min="3" max="3" width="34" customWidth="1"/>
    <col min="4" max="4" width="12" customWidth="1"/>
    <col min="5" max="5" width="10" customWidth="1"/>
    <col min="6" max="6" width="46.7265625" customWidth="1"/>
  </cols>
  <sheetData>
    <row r="1" spans="1:6" ht="29" x14ac:dyDescent="0.35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100</v>
      </c>
      <c r="F1" s="1" t="s">
        <v>123</v>
      </c>
    </row>
    <row r="2" spans="1:6" x14ac:dyDescent="0.35">
      <c r="A2" t="s">
        <v>97</v>
      </c>
      <c r="B2">
        <f>Local!C7</f>
        <v>1768.4955555555557</v>
      </c>
      <c r="C2">
        <f>IF(Premissas!$B$26=1,(Premissas!$B$3-Premissas!$B$5/(1+((1+Premissas!$B$25)^(1/12)-1))^Premissas!$B$4)*((1+Premissas!$B$25)^(1/12)-1)/(1-(1+((1+Premissas!$B$25)^(1/12)-1))^(-Premissas!$B$4)),(Premissas!$B$3-Premissas!$B$5)/Premissas!$B$4)+Premissas!$B$6*Premissas!$B$7*Premissas!$B$8*Premissas!$B$9+Premissas!$B$10+Premissas!$B$11+Premissas!$B$12</f>
        <v>1768.4955555555557</v>
      </c>
      <c r="D2">
        <v>0.01</v>
      </c>
      <c r="E2" t="str">
        <f t="shared" ref="E2:E7" si="0">IF(ABS(B2-C2)&lt;=D2,"PASS","FAIL")</f>
        <v>PASS</v>
      </c>
      <c r="F2">
        <v>1768.5</v>
      </c>
    </row>
    <row r="3" spans="1:6" x14ac:dyDescent="0.35">
      <c r="A3" t="s">
        <v>124</v>
      </c>
      <c r="B3">
        <f>Break_even!E2</f>
        <v>51.347988697548175</v>
      </c>
      <c r="C3">
        <f>Local!C7/((((Premissas!$B$14*API_OpenAI!$B$2*Premissas!$B$21)+(Premissas!$B$15*(API_OpenAI!$C$2+Premissas!$B$22)*Premissas!$B$23)+(Premissas!$B$16*API_OpenAI!$D$2*Premissas!$B$24))*Premissas!$B$2)/(Premissas!$B$14+Premissas!$B$15+Premissas!$B$16))</f>
        <v>51.347988697548175</v>
      </c>
      <c r="D3">
        <v>0.01</v>
      </c>
      <c r="E3" t="str">
        <f t="shared" si="0"/>
        <v>PASS</v>
      </c>
      <c r="F3">
        <v>51.35</v>
      </c>
    </row>
    <row r="4" spans="1:6" x14ac:dyDescent="0.35">
      <c r="A4" t="s">
        <v>125</v>
      </c>
      <c r="B4">
        <f>Break_even!E3</f>
        <v>92.507884399551088</v>
      </c>
      <c r="C4">
        <f>Local!C7/((((Premissas!$B$14*API_OpenAI!$B$3*Premissas!$B$21)+(Premissas!$B$15*(API_OpenAI!$C$3+Premissas!$B$22)*Premissas!$B$23)+(Premissas!$B$16*API_OpenAI!$D$3*Premissas!$B$24))*Premissas!$B$2)/(Premissas!$B$14+Premissas!$B$15+Premissas!$B$16))</f>
        <v>92.507884399551088</v>
      </c>
      <c r="D4">
        <v>0.01</v>
      </c>
      <c r="E4" t="str">
        <f t="shared" si="0"/>
        <v>PASS</v>
      </c>
      <c r="F4">
        <v>92.51</v>
      </c>
    </row>
    <row r="5" spans="1:6" x14ac:dyDescent="0.35">
      <c r="A5" t="s">
        <v>126</v>
      </c>
      <c r="B5">
        <f>Break_even!E4</f>
        <v>925.07884399551085</v>
      </c>
      <c r="C5">
        <f>Local!C7/((((Premissas!$B$14*API_OpenAI!$B$4*Premissas!$B$21)+(Premissas!$B$15*(API_OpenAI!$C$4+Premissas!$B$22)*Premissas!$B$23)+(Premissas!$B$16*API_OpenAI!$D$4*Premissas!$B$24))*Premissas!$B$2)/(Premissas!$B$14+Premissas!$B$15+Premissas!$B$16))</f>
        <v>925.07884399551085</v>
      </c>
      <c r="D5">
        <v>0.01</v>
      </c>
      <c r="E5" t="str">
        <f t="shared" si="0"/>
        <v>PASS</v>
      </c>
      <c r="F5">
        <v>925.08</v>
      </c>
    </row>
    <row r="6" spans="1:6" x14ac:dyDescent="0.35">
      <c r="A6" t="s">
        <v>127</v>
      </c>
      <c r="B6">
        <f>API_OpenAI!F2</f>
        <v>4994</v>
      </c>
      <c r="C6">
        <f>(((Premissas!$B$14*API_OpenAI!$B$2*Premissas!$B$21)+(Premissas!$B$15*(API_OpenAI!$C$2+Premissas!$B$22)*Premissas!$B$23)+(Premissas!$B$16*API_OpenAI!$D$2*Premissas!$B$24))*Premissas!$B$2)</f>
        <v>4994</v>
      </c>
      <c r="D6">
        <v>0.01</v>
      </c>
      <c r="E6" t="str">
        <f t="shared" si="0"/>
        <v>PASS</v>
      </c>
      <c r="F6">
        <v>4994</v>
      </c>
    </row>
    <row r="7" spans="1:6" x14ac:dyDescent="0.35">
      <c r="A7" t="s">
        <v>128</v>
      </c>
      <c r="B7">
        <f>(Premissas!$B$14+Premissas!$B$15+Premissas!$B$16)</f>
        <v>145</v>
      </c>
      <c r="C7">
        <f>Premissas!B14+Premissas!B15+Premissas!B16</f>
        <v>145</v>
      </c>
      <c r="D7">
        <v>0</v>
      </c>
      <c r="E7" t="str">
        <f t="shared" si="0"/>
        <v>PASS</v>
      </c>
      <c r="F7">
        <v>145</v>
      </c>
    </row>
    <row r="8" spans="1:6" x14ac:dyDescent="0.35">
      <c r="A8" t="s">
        <v>129</v>
      </c>
      <c r="B8">
        <f>(Premissas!$B$14+Premissas!$B$15+Premissas!$B$16)</f>
        <v>145</v>
      </c>
      <c r="C8" t="s">
        <v>130</v>
      </c>
      <c r="D8" t="s">
        <v>131</v>
      </c>
      <c r="E8" t="str">
        <f>IF(AND(Premissas!B14&gt;=0,Premissas!B15&gt;=0,Premissas!B16&gt;=0,B8&gt;0),"PASS","FAIL")</f>
        <v>PASS</v>
      </c>
    </row>
    <row r="9" spans="1:6" x14ac:dyDescent="0.35">
      <c r="A9" t="s">
        <v>132</v>
      </c>
      <c r="B9">
        <f>COUNTBLANK(Premissas!B2:B17)+COUNTBLANK(Premissas!B19:B26)</f>
        <v>0</v>
      </c>
      <c r="C9">
        <v>0</v>
      </c>
      <c r="D9">
        <v>0</v>
      </c>
      <c r="E9" t="str">
        <f>IF(B9=0,"PASS","FAIL")</f>
        <v>PASS</v>
      </c>
    </row>
    <row r="10" spans="1:6" x14ac:dyDescent="0.35">
      <c r="A10" t="s">
        <v>133</v>
      </c>
      <c r="B10" t="b">
        <f>AND(Premissas!B4&gt;0,Premissas!B2&gt;0)</f>
        <v>1</v>
      </c>
      <c r="C10" t="s">
        <v>134</v>
      </c>
      <c r="D10" t="s">
        <v>131</v>
      </c>
      <c r="E10" t="str">
        <f>IF(B10,"PASS","FAIL")</f>
        <v>PASS</v>
      </c>
    </row>
    <row r="11" spans="1:6" x14ac:dyDescent="0.35">
      <c r="A11" s="1" t="s">
        <v>135</v>
      </c>
      <c r="B11" s="1"/>
      <c r="C11" s="1"/>
      <c r="D11" s="1"/>
      <c r="E11" s="1" t="str">
        <f>IF(COUNTIF(E2:E10,"FAIL")=0,"PASS","FAIL")</f>
        <v>PASS</v>
      </c>
      <c r="F11" s="1"/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7"/>
  <sheetViews>
    <sheetView workbookViewId="0"/>
  </sheetViews>
  <sheetFormatPr defaultRowHeight="14.5" x14ac:dyDescent="0.35"/>
  <sheetData>
    <row r="1" spans="1:2" x14ac:dyDescent="0.35">
      <c r="A1" s="4" t="s">
        <v>136</v>
      </c>
      <c r="B1" s="4"/>
    </row>
    <row r="2" spans="1:2" x14ac:dyDescent="0.35">
      <c r="A2" t="s">
        <v>137</v>
      </c>
      <c r="B2" t="s">
        <v>47</v>
      </c>
    </row>
    <row r="3" spans="1:2" x14ac:dyDescent="0.35">
      <c r="A3" t="s">
        <v>138</v>
      </c>
      <c r="B3" t="s">
        <v>139</v>
      </c>
    </row>
    <row r="4" spans="1:2" x14ac:dyDescent="0.35">
      <c r="A4" t="s">
        <v>140</v>
      </c>
      <c r="B4" t="s">
        <v>141</v>
      </c>
    </row>
    <row r="5" spans="1:2" x14ac:dyDescent="0.35">
      <c r="A5" t="s">
        <v>142</v>
      </c>
      <c r="B5" t="s">
        <v>143</v>
      </c>
    </row>
    <row r="6" spans="1:2" x14ac:dyDescent="0.35">
      <c r="A6" t="s">
        <v>144</v>
      </c>
      <c r="B6" t="s">
        <v>145</v>
      </c>
    </row>
    <row r="7" spans="1:2" x14ac:dyDescent="0.35">
      <c r="A7" t="s">
        <v>146</v>
      </c>
      <c r="B7" t="s">
        <v>147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Premissas</vt:lpstr>
      <vt:lpstr>API_OpenAI</vt:lpstr>
      <vt:lpstr>Local</vt:lpstr>
      <vt:lpstr>Break_even</vt:lpstr>
      <vt:lpstr>Sensibilidade</vt:lpstr>
      <vt:lpstr>Checks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de Souza Guimarães</cp:lastModifiedBy>
  <dcterms:created xsi:type="dcterms:W3CDTF">2026-09-01T13:42:41Z</dcterms:created>
  <dcterms:modified xsi:type="dcterms:W3CDTF">2026-09-01T15:10:14Z</dcterms:modified>
</cp:coreProperties>
</file>