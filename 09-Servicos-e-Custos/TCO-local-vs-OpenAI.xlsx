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missas" sheetId="1" state="visible" r:id="rId1"/>
    <sheet xmlns:r="http://schemas.openxmlformats.org/officeDocument/2006/relationships" name="API_OpenAI" sheetId="2" state="visible" r:id="rId2"/>
    <sheet xmlns:r="http://schemas.openxmlformats.org/officeDocument/2006/relationships" name="Local" sheetId="3" state="visible" r:id="rId3"/>
    <sheet xmlns:r="http://schemas.openxmlformats.org/officeDocument/2006/relationships" name="Break_even" sheetId="4" state="visible" r:id="rId4"/>
    <sheet xmlns:r="http://schemas.openxmlformats.org/officeDocument/2006/relationships" name="Sensibilidade" sheetId="5" state="visible" r:id="rId5"/>
    <sheet xmlns:r="http://schemas.openxmlformats.org/officeDocument/2006/relationships" name="README" sheetId="6" state="visible" r:id="rId6"/>
  </sheets>
  <definedNames>
    <definedName name="_xlnm._FilterDatabase" localSheetId="0" hidden="1">'Premissas'!$A$1:$D$18</definedName>
    <definedName name="_xlnm._FilterDatabase" localSheetId="1" hidden="1">'API_OpenAI'!$A$1:$F$4</definedName>
    <definedName name="_xlnm._FilterDatabase" localSheetId="2" hidden="1">'Local'!$A$1:$C$9</definedName>
    <definedName name="_xlnm._FilterDatabase" localSheetId="3" hidden="1">'Break_even'!$A$1:$F$4</definedName>
    <definedName name="_xlnm._FilterDatabase" localSheetId="4" hidden="1">'Sensibilidade'!$A$1:$E$6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b val="1"/>
      <color rgb="00FFFFFF"/>
      <sz val="11"/>
      <scheme val="minor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Sensibilidade ao câmbio</a:t>
            </a:r>
          </a:p>
        </rich>
      </tx>
    </title>
    <plotArea>
      <lineChart>
        <grouping val="standard"/>
        <ser>
          <idx val="0"/>
          <order val="0"/>
          <tx>
            <strRef>
              <f>'Sensibilidade'!B1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'Sensibilidade'!$A$2:$A$6</f>
            </numRef>
          </cat>
          <val>
            <numRef>
              <f>'Sensibilidade'!$B$2:$B$6</f>
            </numRef>
          </val>
        </ser>
        <ser>
          <idx val="1"/>
          <order val="1"/>
          <tx>
            <strRef>
              <f>'Sensibilidade'!C1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'Sensibilidade'!$A$2:$A$6</f>
            </numRef>
          </cat>
          <val>
            <numRef>
              <f>'Sensibilidade'!$C$2:$C$6</f>
            </numRef>
          </val>
        </ser>
        <ser>
          <idx val="2"/>
          <order val="2"/>
          <tx>
            <strRef>
              <f>'Sensibilidade'!D1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'Sensibilidade'!$A$2:$A$6</f>
            </numRef>
          </cat>
          <val>
            <numRef>
              <f>'Sensibilidade'!$D$2:$D$6</f>
            </numRef>
          </val>
        </ser>
        <ser>
          <idx val="3"/>
          <order val="3"/>
          <tx>
            <strRef>
              <f>'Sensibilidade'!E1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'Sensibilidade'!$A$2:$A$6</f>
            </numRef>
          </cat>
          <val>
            <numRef>
              <f>'Sensibilidade'!$E$2:$E$6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BRL/USD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BRL/mês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Premissa</t>
        </is>
      </c>
      <c r="B1" s="1" t="inlineStr">
        <is>
          <t>Valor</t>
        </is>
      </c>
      <c r="C1" s="1" t="inlineStr">
        <is>
          <t>Unidade</t>
        </is>
      </c>
      <c r="D1" s="1" t="inlineStr">
        <is>
          <t>Observação</t>
        </is>
      </c>
    </row>
    <row r="2">
      <c r="A2" s="2" t="inlineStr">
        <is>
          <t>Câmbio efetivo</t>
        </is>
      </c>
      <c r="B2" s="3" t="n">
        <v>5.5</v>
      </c>
      <c r="C2" s="2" t="inlineStr">
        <is>
          <t>BRL/USD</t>
        </is>
      </c>
      <c r="D2" s="2" t="inlineStr">
        <is>
          <t>Inclui spread/impostos; substituir pela taxa contratada</t>
        </is>
      </c>
    </row>
    <row r="3">
      <c r="A3" s="2" t="inlineStr">
        <is>
          <t>CAPEX local</t>
        </is>
      </c>
      <c r="B3" s="3" t="n">
        <v>20000</v>
      </c>
      <c r="C3" s="2" t="inlineStr">
        <is>
          <t>BRL</t>
        </is>
      </c>
      <c r="D3" s="2" t="inlineStr">
        <is>
          <t>Hardware, montagem e periféricos</t>
        </is>
      </c>
    </row>
    <row r="4">
      <c r="A4" s="2" t="inlineStr">
        <is>
          <t>Vida útil</t>
        </is>
      </c>
      <c r="B4" s="3" t="n">
        <v>36</v>
      </c>
      <c r="C4" s="2" t="inlineStr">
        <is>
          <t>meses</t>
        </is>
      </c>
      <c r="D4" s="2" t="inlineStr">
        <is>
          <t>Use 24/36/48 para sensibilidade</t>
        </is>
      </c>
    </row>
    <row r="5">
      <c r="A5" s="2" t="inlineStr">
        <is>
          <t>Valor residual</t>
        </is>
      </c>
      <c r="B5" s="3" t="n">
        <v>0</v>
      </c>
      <c r="C5" s="2" t="inlineStr">
        <is>
          <t>BRL</t>
        </is>
      </c>
      <c r="D5" s="2" t="inlineStr">
        <is>
          <t>Estimativa ao final da vida útil</t>
        </is>
      </c>
    </row>
    <row r="6">
      <c r="A6" s="2" t="inlineStr">
        <is>
          <t>Potência média</t>
        </is>
      </c>
      <c r="B6" s="3" t="n">
        <v>0.65</v>
      </c>
      <c r="C6" s="2" t="inlineStr">
        <is>
          <t>kW</t>
        </is>
      </c>
      <c r="D6" s="2" t="inlineStr">
        <is>
          <t>Medida na tomada, não TDP</t>
        </is>
      </c>
    </row>
    <row r="7">
      <c r="A7" s="2" t="inlineStr">
        <is>
          <t>Horas/dia</t>
        </is>
      </c>
      <c r="B7" s="3" t="n">
        <v>12</v>
      </c>
      <c r="C7" s="2" t="inlineStr">
        <is>
          <t>h</t>
        </is>
      </c>
      <c r="D7" s="2" t="inlineStr">
        <is>
          <t>Carga média</t>
        </is>
      </c>
    </row>
    <row r="8">
      <c r="A8" s="2" t="inlineStr">
        <is>
          <t>Dias/mês</t>
        </is>
      </c>
      <c r="B8" s="3" t="n">
        <v>26</v>
      </c>
      <c r="C8" s="2" t="inlineStr">
        <is>
          <t>dias</t>
        </is>
      </c>
      <c r="D8" s="2" t="inlineStr">
        <is>
          <t>Dias efetivos</t>
        </is>
      </c>
    </row>
    <row r="9">
      <c r="A9" s="2" t="inlineStr">
        <is>
          <t>Tarifa efetiva</t>
        </is>
      </c>
      <c r="B9" s="3" t="n">
        <v>1.05</v>
      </c>
      <c r="C9" s="2" t="inlineStr">
        <is>
          <t>BRL/kWh</t>
        </is>
      </c>
      <c r="D9" s="2" t="inlineStr">
        <is>
          <t>Energia + impostos + bandeira</t>
        </is>
      </c>
    </row>
    <row r="10">
      <c r="A10" s="2" t="inlineStr">
        <is>
          <t>Refrigeração mensal</t>
        </is>
      </c>
      <c r="B10" s="3" t="n">
        <v>150</v>
      </c>
      <c r="C10" s="2" t="inlineStr">
        <is>
          <t>BRL</t>
        </is>
      </c>
      <c r="D10" s="2" t="inlineStr">
        <is>
          <t>Parcela atribuída à IA</t>
        </is>
      </c>
    </row>
    <row r="11">
      <c r="A11" s="2" t="inlineStr">
        <is>
          <t>Manutenção/garantia mensal</t>
        </is>
      </c>
      <c r="B11" s="3" t="n">
        <v>250</v>
      </c>
      <c r="C11" s="2" t="inlineStr">
        <is>
          <t>BRL</t>
        </is>
      </c>
      <c r="D11" s="2" t="inlineStr">
        <is>
          <t>Reserva média</t>
        </is>
      </c>
    </row>
    <row r="12">
      <c r="A12" s="2" t="inlineStr">
        <is>
          <t>Operação/espaço mensal</t>
        </is>
      </c>
      <c r="B12" s="3" t="n">
        <v>600</v>
      </c>
      <c r="C12" s="2" t="inlineStr">
        <is>
          <t>BRL</t>
        </is>
      </c>
      <c r="D12" s="2" t="inlineStr">
        <is>
          <t>Equipe, rack, internet, backup</t>
        </is>
      </c>
    </row>
    <row r="13">
      <c r="A13" s="2" t="inlineStr">
        <is>
          <t>Fator utilização</t>
        </is>
      </c>
      <c r="B13" s="3" t="n">
        <v>0.5</v>
      </c>
      <c r="C13" s="2" t="inlineStr">
        <is>
          <t>%</t>
        </is>
      </c>
      <c r="D13" s="2" t="inlineStr">
        <is>
          <t>Tokens efetivos/capacidade teórica</t>
        </is>
      </c>
    </row>
    <row r="14">
      <c r="A14" s="2" t="inlineStr">
        <is>
          <t>Tokens entrada</t>
        </is>
      </c>
      <c r="B14" s="3" t="n">
        <v>100</v>
      </c>
      <c r="C14" s="2" t="inlineStr">
        <is>
          <t>M tokens/mês</t>
        </is>
      </c>
      <c r="D14" s="2" t="inlineStr">
        <is>
          <t>Sem cached input</t>
        </is>
      </c>
    </row>
    <row r="15">
      <c r="A15" s="2" t="inlineStr">
        <is>
          <t>Tokens cached</t>
        </is>
      </c>
      <c r="B15" s="3" t="n">
        <v>20</v>
      </c>
      <c r="C15" s="2" t="inlineStr">
        <is>
          <t>M tokens/mês</t>
        </is>
      </c>
      <c r="D15" s="2" t="inlineStr">
        <is>
          <t>Parte do prompt reutilizada</t>
        </is>
      </c>
    </row>
    <row r="16">
      <c r="A16" s="2" t="inlineStr">
        <is>
          <t>Tokens saída</t>
        </is>
      </c>
      <c r="B16" s="3" t="n">
        <v>25</v>
      </c>
      <c r="C16" s="2" t="inlineStr">
        <is>
          <t>M tokens/mês</t>
        </is>
      </c>
      <c r="D16" s="2" t="inlineStr">
        <is>
          <t>Resposta/agent output</t>
        </is>
      </c>
    </row>
    <row r="17">
      <c r="A17" s="2" t="inlineStr">
        <is>
          <t>Velocidade decode</t>
        </is>
      </c>
      <c r="B17" s="3" t="n">
        <v>35</v>
      </c>
      <c r="C17" s="2" t="inlineStr">
        <is>
          <t>tokens/s</t>
        </is>
      </c>
      <c r="D17" s="2" t="inlineStr">
        <is>
          <t>Medida no modelo e quantização alvo</t>
        </is>
      </c>
    </row>
    <row r="18">
      <c r="A18" s="2" t="n"/>
      <c r="B18" s="3" t="n"/>
      <c r="C18" s="2" t="n"/>
      <c r="D18" s="2" t="n"/>
    </row>
    <row r="19">
      <c r="A19" t="inlineStr">
        <is>
          <t>Data de consulta</t>
        </is>
      </c>
      <c r="B19" t="inlineStr">
        <is>
          <t>2026-09-01</t>
        </is>
      </c>
      <c r="C19" t="inlineStr">
        <is>
          <t>AAAA-MM-DD</t>
        </is>
      </c>
      <c r="D19" t="inlineStr">
        <is>
          <t>Preço oficial consultado em openai.com/api/pricing</t>
        </is>
      </c>
    </row>
    <row r="20">
      <c r="A20" t="inlineStr">
        <is>
          <t>Batch API</t>
        </is>
      </c>
      <c r="B20" t="n">
        <v>0.5</v>
      </c>
      <c r="C20" t="inlineStr">
        <is>
          <t>fator</t>
        </is>
      </c>
      <c r="D20" t="inlineStr">
        <is>
          <t>50% do standard para workloads assíncronos, sujeito às condições oficiais</t>
        </is>
      </c>
    </row>
    <row r="21">
      <c r="A21" t="inlineStr">
        <is>
          <t>Sobretaxa contexto longo</t>
        </is>
      </c>
      <c r="B21" t="n">
        <v>1</v>
      </c>
      <c r="C21" t="inlineStr">
        <is>
          <t>fator</t>
        </is>
      </c>
      <c r="D21" t="inlineStr">
        <is>
          <t>Fator editável para contextos acima do limite de preço-base</t>
        </is>
      </c>
    </row>
    <row r="22">
      <c r="A22" t="inlineStr">
        <is>
          <t>Cache writes</t>
        </is>
      </c>
      <c r="B22" t="n">
        <v>0</v>
      </c>
      <c r="C22" t="inlineStr">
        <is>
          <t>US$/M</t>
        </is>
      </c>
      <c r="D22" t="inlineStr">
        <is>
          <t>Preencher quando aplicável; não presumir custo zero sem confirmação</t>
        </is>
      </c>
    </row>
  </sheetData>
  <autoFilter ref="A1:D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1" t="inlineStr">
        <is>
          <t>Modelo</t>
        </is>
      </c>
      <c r="B1" s="1" t="inlineStr">
        <is>
          <t>Input US$/M</t>
        </is>
      </c>
      <c r="C1" s="1" t="inlineStr">
        <is>
          <t>Cached US$/M</t>
        </is>
      </c>
      <c r="D1" s="1" t="inlineStr">
        <is>
          <t>Output US$/M</t>
        </is>
      </c>
      <c r="E1" s="1" t="inlineStr">
        <is>
          <t>Custo mensal USD</t>
        </is>
      </c>
      <c r="F1" s="1" t="inlineStr">
        <is>
          <t>Custo mensal BRL</t>
        </is>
      </c>
    </row>
    <row r="2">
      <c r="A2" s="2" t="inlineStr">
        <is>
          <t>GPT-5.6 Sol</t>
        </is>
      </c>
      <c r="B2" s="2" t="n">
        <v>4</v>
      </c>
      <c r="C2" s="2" t="n">
        <v>0.4</v>
      </c>
      <c r="D2" s="2" t="n">
        <v>20</v>
      </c>
      <c r="E2" s="2">
        <f>((Premissas!$B$14*B2)+(Premissas!$B$15*(C2+Premissas!$B$22))+(Premissas!$B$16*D2))*Premissas!$B$21</f>
        <v/>
      </c>
      <c r="F2" s="2">
        <f>E2*Premissas!$B$2</f>
        <v/>
      </c>
    </row>
    <row r="3">
      <c r="A3" s="2" t="inlineStr">
        <is>
          <t>GPT-5.6 Terra</t>
        </is>
      </c>
      <c r="B3" s="2" t="n">
        <v>2</v>
      </c>
      <c r="C3" s="2" t="n">
        <v>0.2</v>
      </c>
      <c r="D3" s="2" t="n">
        <v>12</v>
      </c>
      <c r="E3" s="2">
        <f>((Premissas!$B$14*B3)+(Premissas!$B$15*(C3+Premissas!$B$22))+(Premissas!$B$16*D3))*Premissas!$B$21</f>
        <v/>
      </c>
      <c r="F3" s="2">
        <f>E3*Premissas!$B$2</f>
        <v/>
      </c>
    </row>
    <row r="4">
      <c r="A4" s="2" t="inlineStr">
        <is>
          <t>GPT-5.6 Luna</t>
        </is>
      </c>
      <c r="B4" s="2" t="n">
        <v>0.2</v>
      </c>
      <c r="C4" s="2" t="n">
        <v>0.02</v>
      </c>
      <c r="D4" s="2" t="n">
        <v>1.2</v>
      </c>
      <c r="E4" s="2">
        <f>((Premissas!$B$14*B4)+(Premissas!$B$15*(C4+Premissas!$B$22))+(Premissas!$B$16*D4))*Premissas!$B$21</f>
        <v/>
      </c>
      <c r="F4" s="2">
        <f>E4*Premissas!$B$2</f>
        <v/>
      </c>
    </row>
  </sheetData>
  <autoFilter ref="A1:F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s="1" t="inlineStr">
        <is>
          <t>Item</t>
        </is>
      </c>
      <c r="B1" s="1" t="inlineStr">
        <is>
          <t>Fórmula</t>
        </is>
      </c>
      <c r="C1" s="1" t="inlineStr">
        <is>
          <t>Custo mensal BRL</t>
        </is>
      </c>
    </row>
    <row r="2">
      <c r="A2" s="2" t="inlineStr">
        <is>
          <t>CAPEX amortizado</t>
        </is>
      </c>
      <c r="B2" s="2" t="inlineStr">
        <is>
          <t>CAPEX / vida útil</t>
        </is>
      </c>
      <c r="C2" s="2">
        <f>Premissas!B3/Premissas!B4</f>
        <v/>
      </c>
    </row>
    <row r="3">
      <c r="A3" s="2" t="inlineStr">
        <is>
          <t>Energia</t>
        </is>
      </c>
      <c r="B3" s="2" t="inlineStr">
        <is>
          <t>kW × h/dia × dias × tarifa</t>
        </is>
      </c>
      <c r="C3" s="2">
        <f>Premissas!B6*Premissas!B7*Premissas!B8*Premissas!B9</f>
        <v/>
      </c>
    </row>
    <row r="4">
      <c r="A4" s="2" t="inlineStr">
        <is>
          <t>Refrigeração</t>
        </is>
      </c>
      <c r="B4" s="2" t="inlineStr"/>
      <c r="C4" s="2">
        <f>Premissas!B10</f>
        <v/>
      </c>
    </row>
    <row r="5">
      <c r="A5" s="2" t="inlineStr">
        <is>
          <t>Manutenção/garantia</t>
        </is>
      </c>
      <c r="B5" s="2" t="inlineStr"/>
      <c r="C5" s="2">
        <f>Premissas!B11</f>
        <v/>
      </c>
    </row>
    <row r="6">
      <c r="A6" s="2" t="inlineStr">
        <is>
          <t>Operação/espaço</t>
        </is>
      </c>
      <c r="B6" s="2" t="inlineStr"/>
      <c r="C6" s="2">
        <f>Premissas!B12</f>
        <v/>
      </c>
    </row>
    <row r="7">
      <c r="A7" s="2" t="inlineStr">
        <is>
          <t>TCO local</t>
        </is>
      </c>
      <c r="B7" s="2" t="inlineStr"/>
      <c r="C7" s="2">
        <f>SUM(C2:C6)</f>
        <v/>
      </c>
    </row>
    <row r="8">
      <c r="A8" s="2" t="inlineStr">
        <is>
          <t>Capacidade mensal</t>
        </is>
      </c>
      <c r="B8" s="2" t="inlineStr">
        <is>
          <t>tokens/s × 3600 × h/dia × dias × utilização</t>
        </is>
      </c>
      <c r="C8" s="2">
        <f>Premissas!B17*3600*Premissas!B7*Premissas!B8*Premissas!B13</f>
        <v/>
      </c>
    </row>
    <row r="9">
      <c r="A9" s="2" t="inlineStr">
        <is>
          <t>Custo local por M tokens</t>
        </is>
      </c>
      <c r="B9" s="2" t="inlineStr">
        <is>
          <t>TCO / (capacidade/1M)</t>
        </is>
      </c>
      <c r="C9" s="2">
        <f>C7/(C8/1000000)</f>
        <v/>
      </c>
    </row>
  </sheetData>
  <autoFilter ref="A1:C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1" t="inlineStr">
        <is>
          <t>Modelo</t>
        </is>
      </c>
      <c r="B1" s="1" t="inlineStr">
        <is>
          <t>Custo API BRL/mês</t>
        </is>
      </c>
      <c r="C1" s="1" t="inlineStr">
        <is>
          <t>TCO local BRL/mês</t>
        </is>
      </c>
      <c r="D1" s="1" t="inlineStr">
        <is>
          <t>Economia API-local</t>
        </is>
      </c>
      <c r="E1" s="1" t="inlineStr">
        <is>
          <t>Break-even tokens M/mês (mix atual)</t>
        </is>
      </c>
      <c r="F1" s="1" t="inlineStr">
        <is>
          <t>Status</t>
        </is>
      </c>
    </row>
    <row r="2">
      <c r="A2" s="2">
        <f>API_OpenAI!A2</f>
        <v/>
      </c>
      <c r="B2" s="2">
        <f>API_OpenAI!F2</f>
        <v/>
      </c>
      <c r="C2" s="2">
        <f>Local!C7</f>
        <v/>
      </c>
      <c r="D2" s="2">
        <f>B2-C2</f>
        <v/>
      </c>
      <c r="E2" s="2">
        <f>C2/(((Premissas!$B$14*API_OpenAI!B2)+(Premissas!$B$15*(API_OpenAI!C2+Premissas!$B$22))+(Premissas!$B$16*API_OpenAI!D2))*Premissas!$B$21/(Premissas!$B$14+Premissas!$B$15+Premissas!$B$16))</f>
        <v/>
      </c>
      <c r="F2" s="2">
        <f>IF(D2&gt;0,"Local tende a vencer no custo direto","API tende a vencer no custo direto")</f>
        <v/>
      </c>
    </row>
    <row r="3">
      <c r="A3" s="2">
        <f>API_OpenAI!A3</f>
        <v/>
      </c>
      <c r="B3" s="2">
        <f>API_OpenAI!F3</f>
        <v/>
      </c>
      <c r="C3" s="2">
        <f>Local!C7</f>
        <v/>
      </c>
      <c r="D3" s="2">
        <f>B3-C3</f>
        <v/>
      </c>
      <c r="E3" s="2">
        <f>C3/(((Premissas!$B$14*API_OpenAI!B3)+(Premissas!$B$15*(API_OpenAI!C3+Premissas!$B$22))+(Premissas!$B$16*API_OpenAI!D3))*Premissas!$B$21/(Premissas!$B$14+Premissas!$B$15+Premissas!$B$16))</f>
        <v/>
      </c>
      <c r="F3" s="2">
        <f>IF(D3&gt;0,"Local tende a vencer no custo direto","API tende a vencer no custo direto")</f>
        <v/>
      </c>
    </row>
    <row r="4">
      <c r="A4" s="2">
        <f>API_OpenAI!A4</f>
        <v/>
      </c>
      <c r="B4" s="2">
        <f>API_OpenAI!F4</f>
        <v/>
      </c>
      <c r="C4" s="2">
        <f>Local!C7</f>
        <v/>
      </c>
      <c r="D4" s="2">
        <f>B4-C4</f>
        <v/>
      </c>
      <c r="E4" s="2">
        <f>C4/(((Premissas!$B$14*API_OpenAI!B4)+(Premissas!$B$15*(API_OpenAI!C4+Premissas!$B$22))+(Premissas!$B$16*API_OpenAI!D4))*Premissas!$B$21/(Premissas!$B$14+Premissas!$B$15+Premissas!$B$16))</f>
        <v/>
      </c>
      <c r="F4" s="2">
        <f>IF(D4&gt;0,"Local tende a vencer no custo direto","API tende a vencer no custo direto")</f>
        <v/>
      </c>
    </row>
  </sheetData>
  <autoFilter ref="A1:F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1" t="inlineStr">
        <is>
          <t>Câmbio</t>
        </is>
      </c>
      <c r="B1" s="1" t="inlineStr">
        <is>
          <t>Luna BRL/mês</t>
        </is>
      </c>
      <c r="C1" s="1" t="inlineStr">
        <is>
          <t>Terra BRL/mês</t>
        </is>
      </c>
      <c r="D1" s="1" t="inlineStr">
        <is>
          <t>Sol BRL/mês</t>
        </is>
      </c>
      <c r="E1" s="1" t="inlineStr">
        <is>
          <t>TCO local BRL/mês</t>
        </is>
      </c>
    </row>
    <row r="2">
      <c r="A2" s="2" t="n">
        <v>4.4</v>
      </c>
      <c r="B2" s="2">
        <f>(Premissas!B14*API_OpenAI!B4+Premissas!B15*API_OpenAI!C4+Premissas!B16*API_OpenAI!D4)*A2</f>
        <v/>
      </c>
      <c r="C2" s="2">
        <f>(Premissas!B14*API_OpenAI!B3+Premissas!B15*API_OpenAI!C3+Premissas!B16*API_OpenAI!D3)*A2</f>
        <v/>
      </c>
      <c r="D2" s="2">
        <f>(Premissas!B14*API_OpenAI!B2+Premissas!B15*API_OpenAI!C2+Premissas!B16*API_OpenAI!D2)*A2</f>
        <v/>
      </c>
      <c r="E2" s="2">
        <f>Local!C7</f>
        <v/>
      </c>
    </row>
    <row r="3">
      <c r="A3" s="2" t="n">
        <v>4.95</v>
      </c>
      <c r="B3" s="2">
        <f>(Premissas!B14*API_OpenAI!B4+Premissas!B15*API_OpenAI!C4+Premissas!B16*API_OpenAI!D4)*A3</f>
        <v/>
      </c>
      <c r="C3" s="2">
        <f>(Premissas!B14*API_OpenAI!B3+Premissas!B15*API_OpenAI!C3+Premissas!B16*API_OpenAI!D3)*A3</f>
        <v/>
      </c>
      <c r="D3" s="2">
        <f>(Premissas!B14*API_OpenAI!B2+Premissas!B15*API_OpenAI!C2+Premissas!B16*API_OpenAI!D2)*A3</f>
        <v/>
      </c>
      <c r="E3" s="2">
        <f>Local!C7</f>
        <v/>
      </c>
    </row>
    <row r="4">
      <c r="A4" s="2" t="n">
        <v>5.5</v>
      </c>
      <c r="B4" s="2">
        <f>(Premissas!B14*API_OpenAI!B4+Premissas!B15*API_OpenAI!C4+Premissas!B16*API_OpenAI!D4)*A4</f>
        <v/>
      </c>
      <c r="C4" s="2">
        <f>(Premissas!B14*API_OpenAI!B3+Premissas!B15*API_OpenAI!C3+Premissas!B16*API_OpenAI!D3)*A4</f>
        <v/>
      </c>
      <c r="D4" s="2">
        <f>(Premissas!B14*API_OpenAI!B2+Premissas!B15*API_OpenAI!C2+Premissas!B16*API_OpenAI!D2)*A4</f>
        <v/>
      </c>
      <c r="E4" s="2">
        <f>Local!C7</f>
        <v/>
      </c>
    </row>
    <row r="5">
      <c r="A5" s="2" t="n">
        <v>6.05</v>
      </c>
      <c r="B5" s="2">
        <f>(Premissas!B14*API_OpenAI!B4+Premissas!B15*API_OpenAI!C4+Premissas!B16*API_OpenAI!D4)*A5</f>
        <v/>
      </c>
      <c r="C5" s="2">
        <f>(Premissas!B14*API_OpenAI!B3+Premissas!B15*API_OpenAI!C3+Premissas!B16*API_OpenAI!D3)*A5</f>
        <v/>
      </c>
      <c r="D5" s="2">
        <f>(Premissas!B14*API_OpenAI!B2+Premissas!B15*API_OpenAI!C2+Premissas!B16*API_OpenAI!D2)*A5</f>
        <v/>
      </c>
      <c r="E5" s="2">
        <f>Local!C7</f>
        <v/>
      </c>
    </row>
    <row r="6">
      <c r="A6" s="2" t="n">
        <v>6.6</v>
      </c>
      <c r="B6" s="2">
        <f>(Premissas!B14*API_OpenAI!B4+Premissas!B15*API_OpenAI!C4+Premissas!B16*API_OpenAI!D4)*A6</f>
        <v/>
      </c>
      <c r="C6" s="2">
        <f>(Premissas!B14*API_OpenAI!B3+Premissas!B15*API_OpenAI!C3+Premissas!B16*API_OpenAI!D3)*A6</f>
        <v/>
      </c>
      <c r="D6" s="2">
        <f>(Premissas!B14*API_OpenAI!B2+Premissas!B15*API_OpenAI!C2+Premissas!B16*API_OpenAI!D2)*A6</f>
        <v/>
      </c>
      <c r="E6" s="2">
        <f>Local!C7</f>
        <v/>
      </c>
    </row>
  </sheetData>
  <autoFilter ref="A1:E6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Calculadora TCO local versus API OpenAI</t>
        </is>
      </c>
      <c r="B1" s="4" t="n"/>
    </row>
    <row r="2">
      <c r="A2" t="inlineStr">
        <is>
          <t>Data da versão</t>
        </is>
      </c>
      <c r="B2" t="inlineStr">
        <is>
          <t>2026-09-01</t>
        </is>
      </c>
    </row>
    <row r="3">
      <c r="A3" t="inlineStr">
        <is>
          <t>Unidades</t>
        </is>
      </c>
      <c r="B3" t="inlineStr">
        <is>
          <t>Tokens em milhões; moeda em BRL salvo onde indicado.</t>
        </is>
      </c>
    </row>
    <row r="4">
      <c r="A4" t="inlineStr">
        <is>
          <t>Nota</t>
        </is>
      </c>
      <c r="B4" t="inlineStr">
        <is>
          <t>Recalcular no Excel/LibreOffice; preços são mutáveis e devem ser revalidados.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2026-09-01T13:42:41Z</dcterms:created>
  <dcterms:modified xmlns:dcterms="http://purl.org/dc/terms/" xmlns:xsi="http://www.w3.org/2001/XMLSchema-instance" xsi:type="dcterms:W3CDTF">2026-09-01T14:13:52Z</dcterms:modified>
</cp:coreProperties>
</file>